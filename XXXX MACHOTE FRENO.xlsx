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196409a6dee2954/Documentos/Antigravity/CRM RETARDER MEXICO 2026/crm-retarder-mexico/"/>
    </mc:Choice>
  </mc:AlternateContent>
  <xr:revisionPtr revIDLastSave="2" documentId="13_ncr:1_{81E53088-9BFB-4640-9DC2-AAAFAC581D16}" xr6:coauthVersionLast="47" xr6:coauthVersionMax="47" xr10:uidLastSave="{8BBE4DB4-191D-45F7-BDB0-D013A9E0BE3A}"/>
  <bookViews>
    <workbookView xWindow="-108" yWindow="-108" windowWidth="23256" windowHeight="12456" xr2:uid="{00000000-000D-0000-FFFF-FFFF00000000}"/>
  </bookViews>
  <sheets>
    <sheet name="Hoja2" sheetId="2" r:id="rId1"/>
    <sheet name="excel" sheetId="3" r:id="rId2"/>
  </sheets>
  <definedNames>
    <definedName name="_xlnm.Print_Area" localSheetId="0">Hoja2!$A$1:$G$64</definedName>
    <definedName name="Print_Area" localSheetId="0">Hoja2!$A$6:$G$60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34" i="2"/>
  <c r="J10" i="3"/>
  <c r="K10" i="3" s="1"/>
  <c r="L10" i="3" s="1"/>
  <c r="J6" i="3"/>
  <c r="J7" i="3"/>
  <c r="K7" i="3" s="1"/>
  <c r="J8" i="3"/>
  <c r="J9" i="3"/>
  <c r="J5" i="3"/>
  <c r="K6" i="3" l="1"/>
  <c r="L6" i="3" s="1"/>
  <c r="K9" i="3"/>
  <c r="L9" i="3" s="1"/>
  <c r="K8" i="3"/>
  <c r="L8" i="3" s="1"/>
  <c r="L7" i="3"/>
  <c r="K5" i="3"/>
  <c r="L5" i="3" s="1"/>
  <c r="F26" i="2" l="1"/>
  <c r="F36" i="2" s="1"/>
  <c r="F37" i="2" s="1"/>
  <c r="F38" i="2" s="1"/>
  <c r="J14" i="3" l="1"/>
  <c r="K14" i="3" l="1"/>
  <c r="L14" i="3" s="1"/>
</calcChain>
</file>

<file path=xl/sharedStrings.xml><?xml version="1.0" encoding="utf-8"?>
<sst xmlns="http://schemas.openxmlformats.org/spreadsheetml/2006/main" count="73" uniqueCount="65">
  <si>
    <t>COTIZACIÓN</t>
  </si>
  <si>
    <t>TERESA GUTIERREZ RAFAEL</t>
  </si>
  <si>
    <t>GURT721015BN8</t>
  </si>
  <si>
    <t xml:space="preserve">ARALIA 9 GRANJAS DE GUADALUPE </t>
  </si>
  <si>
    <t>DESCRIPCIÓN DE LA COTIZACIÓN</t>
  </si>
  <si>
    <t>CANT.</t>
  </si>
  <si>
    <t>UNID.</t>
  </si>
  <si>
    <t>DESCRIPCIÓN</t>
  </si>
  <si>
    <t>P. UNITARIO</t>
  </si>
  <si>
    <t>IMPORTE</t>
  </si>
  <si>
    <t>MON.</t>
  </si>
  <si>
    <t>TOTAL</t>
  </si>
  <si>
    <t xml:space="preserve">NICOLÁS ROMERO </t>
  </si>
  <si>
    <t>ESTADO DE  MÉXICO, C.P. 54474</t>
  </si>
  <si>
    <t xml:space="preserve">  FOLIO:</t>
  </si>
  <si>
    <t xml:space="preserve">  FECHA:</t>
  </si>
  <si>
    <t xml:space="preserve">  SUCURSAL:</t>
  </si>
  <si>
    <r>
      <t xml:space="preserve">            </t>
    </r>
    <r>
      <rPr>
        <b/>
        <sz val="14"/>
        <color theme="1"/>
        <rFont val="Arial Narrow"/>
        <family val="2"/>
      </rPr>
      <t xml:space="preserve"> TERESA GUTIERREZ RAFAEL</t>
    </r>
  </si>
  <si>
    <t>NOTAS:</t>
  </si>
  <si>
    <t>*COTIZACIÓN VALIDA POR 8 DÍAS</t>
  </si>
  <si>
    <t>SERVICIOS</t>
  </si>
  <si>
    <t>No.</t>
  </si>
  <si>
    <t>FECHA</t>
  </si>
  <si>
    <t>ORDEN</t>
  </si>
  <si>
    <t>ECO.</t>
  </si>
  <si>
    <t>MARCA</t>
  </si>
  <si>
    <t>No. SERIE</t>
  </si>
  <si>
    <t>CANTIDAD</t>
  </si>
  <si>
    <t>CONCEPTO</t>
  </si>
  <si>
    <t>PRECIO UNI.</t>
  </si>
  <si>
    <t>PRECIO</t>
  </si>
  <si>
    <t>IVA</t>
  </si>
  <si>
    <t>SIN MÁS POR EL MOMENTO, QUEDO ATENTA COMENTARIOS.</t>
  </si>
  <si>
    <t>CRISTINA VELASCO</t>
  </si>
  <si>
    <t>ÁREA DE VENTAS</t>
  </si>
  <si>
    <t>TEL. 55-7372-1633</t>
  </si>
  <si>
    <t>*PRECIO SUJETO A CAMBIO SIN PREVIO AVISO</t>
  </si>
  <si>
    <t>PZA</t>
  </si>
  <si>
    <t>MATERIAL ADICIONAL</t>
  </si>
  <si>
    <t>SOPORTERÍA</t>
  </si>
  <si>
    <t>MARCA PENTAR QUE INCLUYE:</t>
  </si>
  <si>
    <t>*EQUIPO NUEVO CON GARANTÍA DE UN AÑO</t>
  </si>
  <si>
    <t>ventasyservicio@tgrpentarmexico.com</t>
  </si>
  <si>
    <t>serviciotecnico@tgrpentarmexico.com</t>
  </si>
  <si>
    <t>MATERIAL DE CARDANES 1550</t>
  </si>
  <si>
    <t>SERVICIO</t>
  </si>
  <si>
    <t>MANO DE OBRA INSTALACIÓN</t>
  </si>
  <si>
    <t>GASTOS DE TRASLADO</t>
  </si>
  <si>
    <t>SUBTOTAL</t>
  </si>
  <si>
    <t>OBSERVACIONES:</t>
  </si>
  <si>
    <t>*GASTOS DE ENVIO DEL FRENO POR PARTE DEL CLIENTE</t>
  </si>
  <si>
    <t>*NO INCLUYE SOLDADURAS NI OTRAS MODIFICACIONES QUE</t>
  </si>
  <si>
    <t xml:space="preserve">INTERFIERAN CON LA INSTALACIÓN DEL FRENO </t>
  </si>
  <si>
    <t>*SE REQUIERE EL PAGO TOTAL DEL EQUIPO POR ADELANTADO</t>
  </si>
  <si>
    <t>M.N.</t>
  </si>
  <si>
    <t>*UNA VEZ RECIBIDO EL PAGO, SE DA FECHA DE INSTALACIÓN</t>
  </si>
  <si>
    <t>https://www.tgrpentarmexico.com/</t>
  </si>
  <si>
    <t>XXX</t>
  </si>
  <si>
    <t>XXXXX</t>
  </si>
  <si>
    <t>ING. XXXX</t>
  </si>
  <si>
    <t>LE ENVIO COTIZACIÓN DEL FRENO    CON CAPACIDAD DE     TONELADAS</t>
  </si>
  <si>
    <t xml:space="preserve">FRENO ELECTROMAGNETICO </t>
  </si>
  <si>
    <t>00/100 M.N.</t>
  </si>
  <si>
    <t>*NO INCLUYE MODIFICACIÓN DE CARDANES</t>
  </si>
  <si>
    <t>RETARDER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</si>
</sst>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164" formatCode="000"/>
    <numFmt numFmtId="165" formatCode="dd/mm/yyyy;@"/>
    <numFmt numFmtId="166" formatCode="yyyy/m/d;@"/>
    <numFmt numFmtId="167" formatCode="&quot;$&quot;#,##0.00"/>
    <numFmt numFmtId="168" formatCode="yyyy\-mm\-dd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48"/>
      <color theme="1"/>
      <name val="Calisto MT"/>
      <family val="1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Arial Narrow"/>
      <family val="2"/>
    </font>
    <font>
      <b/>
      <sz val="12"/>
      <color rgb="FF3F3F3F"/>
      <name val="Arial Narrow"/>
      <family val="2"/>
    </font>
    <font>
      <sz val="11"/>
      <color rgb="FFFF0000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6"/>
      <color rgb="FFEC7C30"/>
      <name val="Arial Narrow"/>
      <family val="2"/>
    </font>
    <font>
      <u/>
      <sz val="14"/>
      <color theme="10"/>
      <name val="Arial Narrow"/>
      <family val="2"/>
    </font>
    <font>
      <sz val="12"/>
      <color theme="1"/>
      <name val="Aptos Narrow"/>
      <family val="2"/>
    </font>
    <font>
      <b/>
      <sz val="18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2"/>
      <name val="Arial Narrow"/>
      <family val="2"/>
    </font>
    <font>
      <b/>
      <i/>
      <sz val="12"/>
      <color theme="1"/>
      <name val="Arial Narrow"/>
      <family val="2"/>
    </font>
    <font>
      <b/>
      <sz val="36"/>
      <color theme="1"/>
      <name val="Calisto MT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/>
    <xf numFmtId="0" fontId="7" fillId="0" borderId="0" xfId="0" applyFont="1"/>
    <xf numFmtId="166" fontId="0" fillId="0" borderId="0" xfId="0" applyNumberFormat="1"/>
    <xf numFmtId="0" fontId="5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3" borderId="0" xfId="2" applyFont="1" applyFill="1" applyBorder="1" applyAlignment="1">
      <alignment horizontal="center"/>
    </xf>
    <xf numFmtId="0" fontId="9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165" fontId="9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 vertical="center" shrinkToFi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14" fillId="0" borderId="0" xfId="0" applyFont="1" applyAlignment="1">
      <alignment horizontal="right"/>
    </xf>
    <xf numFmtId="0" fontId="11" fillId="0" borderId="0" xfId="0" applyFont="1"/>
    <xf numFmtId="0" fontId="17" fillId="0" borderId="0" xfId="0" applyFont="1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5" fontId="17" fillId="0" borderId="0" xfId="0" applyNumberFormat="1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44" fontId="9" fillId="0" borderId="0" xfId="5" applyFont="1"/>
    <xf numFmtId="168" fontId="17" fillId="0" borderId="0" xfId="0" applyNumberFormat="1" applyFont="1"/>
    <xf numFmtId="0" fontId="20" fillId="0" borderId="0" xfId="0" applyFont="1"/>
    <xf numFmtId="167" fontId="20" fillId="0" borderId="0" xfId="0" applyNumberFormat="1" applyFont="1"/>
    <xf numFmtId="167" fontId="9" fillId="0" borderId="0" xfId="0" applyNumberFormat="1" applyFont="1"/>
    <xf numFmtId="167" fontId="19" fillId="4" borderId="0" xfId="0" applyNumberFormat="1" applyFont="1" applyFill="1" applyAlignment="1">
      <alignment horizontal="center" vertical="center"/>
    </xf>
    <xf numFmtId="44" fontId="17" fillId="0" borderId="0" xfId="1" applyFont="1"/>
    <xf numFmtId="0" fontId="10" fillId="0" borderId="0" xfId="2" applyFont="1" applyFill="1" applyBorder="1" applyAlignment="1">
      <alignment horizontal="center"/>
    </xf>
    <xf numFmtId="0" fontId="14" fillId="0" borderId="0" xfId="2" applyFont="1" applyFill="1" applyBorder="1" applyAlignment="1">
      <alignment horizontal="center"/>
    </xf>
    <xf numFmtId="0" fontId="9" fillId="0" borderId="0" xfId="2" applyFont="1" applyFill="1" applyBorder="1" applyAlignment="1">
      <alignment horizontal="center"/>
    </xf>
    <xf numFmtId="8" fontId="9" fillId="0" borderId="0" xfId="2" applyNumberFormat="1" applyFont="1" applyFill="1" applyBorder="1" applyAlignment="1">
      <alignment horizontal="center"/>
    </xf>
    <xf numFmtId="167" fontId="9" fillId="0" borderId="0" xfId="2" applyNumberFormat="1" applyFont="1" applyFill="1" applyBorder="1" applyAlignment="1">
      <alignment horizontal="center"/>
    </xf>
    <xf numFmtId="0" fontId="1" fillId="0" borderId="0" xfId="0" applyFont="1"/>
    <xf numFmtId="0" fontId="16" fillId="0" borderId="0" xfId="3" applyFont="1" applyFill="1" applyBorder="1"/>
    <xf numFmtId="0" fontId="21" fillId="0" borderId="0" xfId="0" applyFont="1"/>
    <xf numFmtId="0" fontId="22" fillId="0" borderId="0" xfId="3" applyFont="1"/>
    <xf numFmtId="0" fontId="23" fillId="0" borderId="0" xfId="0" applyFont="1"/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14" fillId="0" borderId="0" xfId="0" applyFont="1"/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2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2" fillId="0" borderId="0" xfId="3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12">
    <cellStyle name="Hipervínculo" xfId="3" builtinId="8"/>
    <cellStyle name="Moneda" xfId="1" builtinId="4"/>
    <cellStyle name="Moneda 2" xfId="4" xr:uid="{7634C713-6DF0-4981-9E7C-2B0FAFDC3D1A}"/>
    <cellStyle name="Moneda 2 2" xfId="8" xr:uid="{775C9152-4AF5-4945-9408-9F5830FA2963}"/>
    <cellStyle name="Moneda 3" xfId="5" xr:uid="{06B3D507-F138-4708-ADAE-50E91F86DE79}"/>
    <cellStyle name="Moneda 3 2" xfId="9" xr:uid="{7281FA4F-D656-43A7-A72A-1C132D23BEDE}"/>
    <cellStyle name="Moneda 4" xfId="6" xr:uid="{E326CADE-D727-41A9-B15B-2199735A77ED}"/>
    <cellStyle name="Moneda 4 2" xfId="10" xr:uid="{C69B9637-1A91-4771-BD8F-AF1D1C7DC07D}"/>
    <cellStyle name="Moneda 5" xfId="7" xr:uid="{20E6E7B7-3934-4BCA-88B4-3465763EB617}"/>
    <cellStyle name="Moneda 6" xfId="11" xr:uid="{0A99DD48-D1C9-40E0-9AA7-1D2311217151}"/>
    <cellStyle name="Normal" xfId="0" builtinId="0"/>
    <cellStyle name="Salida" xfId="2" builtinId="21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1428751</xdr:colOff>
      <xdr:row>55</xdr:row>
      <xdr:rowOff>41911</xdr:rowOff>
    </xdr:from>
    <xdr:to>
      <xdr:col>5</xdr:col>
      <xdr:colOff>454716</xdr:colOff>
      <xdr:row>58</xdr:row>
      <xdr:rowOff>22860</xdr:rowOff>
    </xdr:to>
    <xdr:pic>
      <xdr:nvPicPr>
        <xdr:cNvPr id="5" name="Imagen 4" descr="Pentar Kloft Retarder">
          <a:extLst>
            <a:ext uri="{FF2B5EF4-FFF2-40B4-BE49-F238E27FC236}">
              <a16:creationId xmlns:a16="http://schemas.microsoft.com/office/drawing/2014/main" id="{E47D6FE4-41E6-660F-C95D-322ACF18DA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5" t="21520" r="2616" b="19759"/>
        <a:stretch/>
      </xdr:blipFill>
      <xdr:spPr bwMode="auto">
        <a:xfrm>
          <a:off x="4232911" y="10923271"/>
          <a:ext cx="2485445" cy="529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2025289</xdr:colOff>
      <xdr:row>6</xdr:row>
      <xdr:rowOff>179071</xdr:rowOff>
    </xdr:from>
    <xdr:ext cx="873942" cy="881902"/>
    <xdr:pic>
      <xdr:nvPicPr>
        <xdr:cNvPr id="4" name="image5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449" y="1466851"/>
          <a:ext cx="873942" cy="881902"/>
        </a:xfrm>
        <a:prstGeom prst="rect">
          <a:avLst/>
        </a:prstGeom>
      </xdr:spPr>
    </xdr:pic>
    <xdr:clientData/>
  </xdr:oneCellAnchor>
  <xdr:twoCellAnchor>
    <xdr:from>
      <xdr:col>2</xdr:col>
      <xdr:colOff>12188</xdr:colOff>
      <xdr:row>4</xdr:row>
      <xdr:rowOff>59845</xdr:rowOff>
    </xdr:from>
    <xdr:to>
      <xdr:col>5</xdr:col>
      <xdr:colOff>88468</xdr:colOff>
      <xdr:row>4</xdr:row>
      <xdr:rowOff>73512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414268" y="974245"/>
          <a:ext cx="4541600" cy="1366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7620</xdr:colOff>
      <xdr:row>0</xdr:row>
      <xdr:rowOff>0</xdr:rowOff>
    </xdr:from>
    <xdr:to>
      <xdr:col>1</xdr:col>
      <xdr:colOff>419100</xdr:colOff>
      <xdr:row>3</xdr:row>
      <xdr:rowOff>15932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745D7B-BBCB-36FF-CE1D-C9BF537B45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99" t="4626" r="22776" b="4982"/>
        <a:stretch/>
      </xdr:blipFill>
      <xdr:spPr bwMode="auto">
        <a:xfrm>
          <a:off x="512445" y="0"/>
          <a:ext cx="411480" cy="587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</xdr:colOff>
      <xdr:row>4</xdr:row>
      <xdr:rowOff>17145</xdr:rowOff>
    </xdr:from>
    <xdr:to>
      <xdr:col>1</xdr:col>
      <xdr:colOff>528155</xdr:colOff>
      <xdr:row>6</xdr:row>
      <xdr:rowOff>114300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F1F029D-28E1-E3AB-552C-35E85D0C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6255" y="779145"/>
          <a:ext cx="516725" cy="47815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</xdr:row>
      <xdr:rowOff>66674</xdr:rowOff>
    </xdr:from>
    <xdr:to>
      <xdr:col>1</xdr:col>
      <xdr:colOff>504825</xdr:colOff>
      <xdr:row>9</xdr:row>
      <xdr:rowOff>97013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13B1CF-76AE-898F-BA69-1E04E55C7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" y="1400174"/>
          <a:ext cx="495300" cy="44943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0</xdr:row>
      <xdr:rowOff>38101</xdr:rowOff>
    </xdr:from>
    <xdr:to>
      <xdr:col>6</xdr:col>
      <xdr:colOff>636738</xdr:colOff>
      <xdr:row>5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27B0AA1-4A9F-4390-B6FD-C8694817D5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942" t="4706" r="3529" b="10784"/>
        <a:stretch>
          <a:fillRect/>
        </a:stretch>
      </xdr:blipFill>
      <xdr:spPr>
        <a:xfrm>
          <a:off x="6753225" y="38101"/>
          <a:ext cx="808188" cy="1095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grpentarmexico.com/" TargetMode="External"/><Relationship Id="rId2" Type="http://schemas.openxmlformats.org/officeDocument/2006/relationships/hyperlink" Target="mailto:serviciotecnico@tgrpentarmexico.com" TargetMode="External"/><Relationship Id="rId1" Type="http://schemas.openxmlformats.org/officeDocument/2006/relationships/hyperlink" Target="mailto:ventasyservicio@tgrpentarmexico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J60"/>
  <sheetViews>
    <sheetView showGridLines="0" tabSelected="1" view="pageBreakPreview" topLeftCell="A37" zoomScaleNormal="100" zoomScaleSheetLayoutView="100" zoomScalePageLayoutView="85" workbookViewId="0">
      <selection activeCell="C1" sqref="C1:E3"/>
    </sheetView>
  </sheetViews>
  <sheetFormatPr baseColWidth="10" defaultRowHeight="14.4"/>
  <cols>
    <col min="1" max="1" width="7.5546875" customWidth="1"/>
    <col min="2" max="2" width="12.88671875" customWidth="1"/>
    <col min="3" max="3" width="20.44140625" customWidth="1"/>
    <col min="4" max="4" width="37.88671875" customWidth="1"/>
    <col min="5" max="6" width="12.5546875" bestFit="1" customWidth="1"/>
    <col min="7" max="7" width="16.109375" style="1" customWidth="1"/>
    <col min="8" max="8" width="3.6640625" customWidth="1"/>
    <col min="9" max="9" width="14.88671875" bestFit="1" customWidth="1"/>
  </cols>
  <sheetData>
    <row r="1" spans="2:10">
      <c r="C1" s="58" t="s">
        <v>64</v>
      </c>
      <c r="D1" s="59"/>
      <c r="E1" s="59"/>
    </row>
    <row r="2" spans="2:10">
      <c r="C2" s="59"/>
      <c r="D2" s="59"/>
      <c r="E2" s="59"/>
    </row>
    <row r="3" spans="2:10">
      <c r="C3" s="59"/>
      <c r="D3" s="59"/>
      <c r="E3" s="59"/>
    </row>
    <row r="6" spans="2:10" ht="15" customHeight="1">
      <c r="C6" s="61" t="s">
        <v>17</v>
      </c>
      <c r="D6" s="61"/>
      <c r="E6" s="61"/>
      <c r="G6"/>
      <c r="H6" s="4"/>
      <c r="I6" s="4"/>
    </row>
    <row r="7" spans="2:10" ht="15" customHeight="1">
      <c r="F7" s="60" t="s">
        <v>0</v>
      </c>
      <c r="G7" s="60"/>
      <c r="H7" s="4"/>
      <c r="I7" s="4"/>
      <c r="J7" s="4"/>
    </row>
    <row r="8" spans="2:10" ht="15" customHeight="1">
      <c r="C8" s="17" t="s">
        <v>1</v>
      </c>
      <c r="F8" s="12"/>
      <c r="G8" s="12"/>
    </row>
    <row r="9" spans="2:10" ht="18">
      <c r="C9" s="17" t="s">
        <v>2</v>
      </c>
      <c r="F9" s="12"/>
      <c r="G9" s="10"/>
    </row>
    <row r="10" spans="2:10" ht="15" customHeight="1">
      <c r="C10" s="17" t="s">
        <v>3</v>
      </c>
      <c r="E10" s="7"/>
      <c r="F10" s="13" t="s">
        <v>14</v>
      </c>
      <c r="G10" s="16" t="s">
        <v>57</v>
      </c>
    </row>
    <row r="11" spans="2:10" ht="15" customHeight="1">
      <c r="C11" s="17" t="s">
        <v>12</v>
      </c>
      <c r="D11" s="17"/>
      <c r="F11" s="14" t="s">
        <v>15</v>
      </c>
      <c r="G11" s="15"/>
      <c r="I11" s="6"/>
    </row>
    <row r="12" spans="2:10" ht="15" customHeight="1">
      <c r="C12" s="17" t="s">
        <v>13</v>
      </c>
      <c r="D12" s="17"/>
      <c r="F12" s="14" t="s">
        <v>16</v>
      </c>
      <c r="G12" s="10"/>
    </row>
    <row r="13" spans="2:10" ht="15.6">
      <c r="B13" s="50"/>
      <c r="C13" s="51" t="s">
        <v>42</v>
      </c>
      <c r="D13" s="50"/>
      <c r="E13" s="63" t="s">
        <v>56</v>
      </c>
      <c r="F13" s="64"/>
      <c r="G13" s="64"/>
    </row>
    <row r="14" spans="2:10" ht="15.6">
      <c r="B14" s="50"/>
      <c r="C14" s="51" t="s">
        <v>43</v>
      </c>
      <c r="D14" s="50"/>
    </row>
    <row r="15" spans="2:10" ht="18">
      <c r="C15" s="49"/>
      <c r="D15" s="17"/>
    </row>
    <row r="17" spans="1:10" ht="18">
      <c r="A17" s="18" t="s">
        <v>58</v>
      </c>
      <c r="B17" s="17"/>
      <c r="C17" s="17"/>
      <c r="D17" s="17"/>
      <c r="E17" s="17"/>
      <c r="F17" s="17"/>
      <c r="G17" s="17"/>
    </row>
    <row r="18" spans="1:10" ht="18">
      <c r="A18" s="18" t="s">
        <v>59</v>
      </c>
      <c r="B18" s="17"/>
      <c r="C18" s="17"/>
      <c r="D18" s="17"/>
      <c r="E18" s="17"/>
      <c r="F18" s="17"/>
      <c r="G18" s="17"/>
    </row>
    <row r="19" spans="1:10" ht="18">
      <c r="A19" s="18"/>
      <c r="B19" s="17"/>
      <c r="C19" s="17"/>
      <c r="D19" s="17"/>
      <c r="E19" s="17"/>
      <c r="F19" s="17"/>
      <c r="G19" s="17"/>
    </row>
    <row r="20" spans="1:10" ht="18">
      <c r="A20" s="19" t="s">
        <v>4</v>
      </c>
      <c r="B20" s="20"/>
      <c r="C20" s="17"/>
      <c r="D20" s="21"/>
      <c r="E20" s="21"/>
      <c r="F20" s="21"/>
      <c r="G20" s="22"/>
      <c r="H20" s="2"/>
      <c r="I20" s="2"/>
      <c r="J20" s="2"/>
    </row>
    <row r="21" spans="1:10">
      <c r="A21" s="56" t="s">
        <v>60</v>
      </c>
      <c r="B21" s="56"/>
      <c r="C21" s="56"/>
      <c r="D21" s="56"/>
      <c r="E21" s="56"/>
      <c r="F21" s="56"/>
      <c r="G21" s="56"/>
      <c r="H21" s="3"/>
      <c r="I21" s="3"/>
      <c r="J21" s="2"/>
    </row>
    <row r="22" spans="1:10">
      <c r="A22" s="56"/>
      <c r="B22" s="56"/>
      <c r="C22" s="56"/>
      <c r="D22" s="56"/>
      <c r="E22" s="56"/>
      <c r="F22" s="56"/>
      <c r="G22" s="56"/>
      <c r="H22" s="3"/>
      <c r="I22" s="3"/>
      <c r="J22" s="2"/>
    </row>
    <row r="23" spans="1:10">
      <c r="A23" s="56"/>
      <c r="B23" s="56"/>
      <c r="C23" s="56"/>
      <c r="D23" s="56"/>
      <c r="E23" s="56"/>
      <c r="F23" s="56"/>
      <c r="G23" s="56"/>
      <c r="H23" s="2"/>
      <c r="I23" s="2"/>
    </row>
    <row r="24" spans="1:10" ht="15.6">
      <c r="B24" s="11" t="s">
        <v>5</v>
      </c>
      <c r="C24" s="11" t="s">
        <v>6</v>
      </c>
      <c r="D24" s="11" t="s">
        <v>7</v>
      </c>
      <c r="E24" s="11" t="s">
        <v>8</v>
      </c>
      <c r="F24" s="11" t="s">
        <v>9</v>
      </c>
      <c r="G24" s="11" t="s">
        <v>10</v>
      </c>
    </row>
    <row r="25" spans="1:10" ht="15.6">
      <c r="B25" s="43"/>
      <c r="C25" s="43"/>
      <c r="D25" s="43"/>
      <c r="E25" s="43"/>
      <c r="F25" s="43"/>
      <c r="G25" s="43"/>
    </row>
    <row r="26" spans="1:10" ht="15.6">
      <c r="B26" s="45">
        <v>1</v>
      </c>
      <c r="C26" s="45" t="s">
        <v>37</v>
      </c>
      <c r="D26" s="45" t="s">
        <v>61</v>
      </c>
      <c r="E26" s="46"/>
      <c r="F26" s="47">
        <f>E26*B26</f>
        <v>0</v>
      </c>
      <c r="G26" s="10" t="s">
        <v>54</v>
      </c>
    </row>
    <row r="27" spans="1:10" ht="15.6">
      <c r="B27" s="45"/>
      <c r="C27" s="45"/>
      <c r="D27" s="45" t="s">
        <v>40</v>
      </c>
      <c r="E27" s="46"/>
      <c r="F27" s="47"/>
      <c r="G27" s="10"/>
    </row>
    <row r="28" spans="1:10" ht="15.6">
      <c r="B28" s="45"/>
      <c r="C28" s="45"/>
      <c r="D28" s="45" t="s">
        <v>38</v>
      </c>
      <c r="E28" s="44"/>
      <c r="F28" s="47"/>
      <c r="G28" s="10"/>
    </row>
    <row r="29" spans="1:10" ht="15.6">
      <c r="B29" s="45"/>
      <c r="C29" s="45"/>
      <c r="D29" s="45" t="s">
        <v>39</v>
      </c>
      <c r="E29" s="47"/>
      <c r="F29" s="47"/>
      <c r="G29" s="10"/>
    </row>
    <row r="30" spans="1:10" ht="15.6">
      <c r="B30" s="45"/>
      <c r="C30" s="45"/>
      <c r="D30" s="45" t="s">
        <v>44</v>
      </c>
      <c r="E30" s="47"/>
      <c r="F30" s="47"/>
      <c r="G30" s="10"/>
    </row>
    <row r="31" spans="1:10" ht="15.6">
      <c r="B31" s="45"/>
      <c r="C31" s="45"/>
      <c r="D31" s="45"/>
      <c r="E31" s="47"/>
      <c r="F31" s="47"/>
      <c r="G31" s="10"/>
    </row>
    <row r="32" spans="1:10" ht="15.6">
      <c r="B32" s="45">
        <v>1</v>
      </c>
      <c r="C32" s="45" t="s">
        <v>45</v>
      </c>
      <c r="D32" s="45" t="s">
        <v>46</v>
      </c>
      <c r="E32" s="47"/>
      <c r="F32" s="47">
        <f t="shared" ref="F32:F34" si="0">E32*B32</f>
        <v>0</v>
      </c>
      <c r="G32" s="10" t="s">
        <v>54</v>
      </c>
    </row>
    <row r="33" spans="1:7" ht="15.6">
      <c r="B33" s="45"/>
      <c r="C33" s="45"/>
      <c r="D33" s="45"/>
      <c r="E33" s="47"/>
      <c r="F33" s="47"/>
      <c r="G33" s="10"/>
    </row>
    <row r="34" spans="1:7" ht="15.6">
      <c r="B34" s="45">
        <v>1</v>
      </c>
      <c r="C34" s="45" t="s">
        <v>45</v>
      </c>
      <c r="D34" s="45" t="s">
        <v>47</v>
      </c>
      <c r="E34" s="47"/>
      <c r="F34" s="47">
        <f t="shared" si="0"/>
        <v>0</v>
      </c>
      <c r="G34" s="10" t="s">
        <v>54</v>
      </c>
    </row>
    <row r="35" spans="1:7" ht="15.6">
      <c r="B35" s="10"/>
      <c r="C35" s="10"/>
      <c r="D35" s="12"/>
      <c r="E35" s="36"/>
      <c r="F35" s="47"/>
      <c r="G35" s="10"/>
    </row>
    <row r="36" spans="1:7" ht="15.6">
      <c r="B36" s="10"/>
      <c r="C36" s="10"/>
      <c r="D36" s="48"/>
      <c r="E36" s="23" t="s">
        <v>48</v>
      </c>
      <c r="F36" s="47">
        <f>SUM(F26:F35)</f>
        <v>0</v>
      </c>
      <c r="G36" s="10" t="s">
        <v>54</v>
      </c>
    </row>
    <row r="37" spans="1:7" ht="15.6">
      <c r="B37" s="10"/>
      <c r="C37" s="10"/>
      <c r="D37" s="48"/>
      <c r="E37" s="23" t="s">
        <v>31</v>
      </c>
      <c r="F37" s="47">
        <f>F36*0.16</f>
        <v>0</v>
      </c>
      <c r="G37" s="10" t="s">
        <v>54</v>
      </c>
    </row>
    <row r="38" spans="1:7" ht="15.6">
      <c r="B38" s="10"/>
      <c r="C38" s="10"/>
      <c r="D38" s="48"/>
      <c r="E38" s="23" t="s">
        <v>11</v>
      </c>
      <c r="F38" s="47">
        <f>F37+F36</f>
        <v>0</v>
      </c>
      <c r="G38" s="10" t="s">
        <v>54</v>
      </c>
    </row>
    <row r="39" spans="1:7" ht="15.6">
      <c r="B39" s="10"/>
      <c r="C39" s="10"/>
      <c r="D39" s="48"/>
      <c r="E39" s="23"/>
      <c r="F39" s="47"/>
      <c r="G39" s="10"/>
    </row>
    <row r="40" spans="1:7" ht="15.6">
      <c r="B40" s="10"/>
      <c r="C40" s="10"/>
      <c r="D40" s="62" t="s">
        <v>62</v>
      </c>
      <c r="E40" s="62"/>
      <c r="F40" s="62"/>
      <c r="G40" s="62"/>
    </row>
    <row r="41" spans="1:7" ht="18">
      <c r="A41" s="52" t="s">
        <v>49</v>
      </c>
      <c r="C41" s="10"/>
      <c r="D41" s="53"/>
      <c r="E41" s="17"/>
      <c r="F41" s="47"/>
      <c r="G41" s="10"/>
    </row>
    <row r="42" spans="1:7" ht="18">
      <c r="A42" s="52"/>
      <c r="B42" s="55" t="s">
        <v>63</v>
      </c>
      <c r="C42" s="10"/>
      <c r="D42" s="53"/>
      <c r="E42" s="17"/>
      <c r="F42" s="47"/>
      <c r="G42" s="10"/>
    </row>
    <row r="43" spans="1:7" ht="18">
      <c r="B43" s="52" t="s">
        <v>51</v>
      </c>
      <c r="C43" s="53"/>
      <c r="D43" s="17"/>
      <c r="F43" s="47"/>
      <c r="G43" s="10"/>
    </row>
    <row r="44" spans="1:7" ht="15.6">
      <c r="B44" s="54" t="s">
        <v>52</v>
      </c>
      <c r="C44" s="54"/>
      <c r="D44" s="54"/>
      <c r="F44" s="47"/>
      <c r="G44" s="10"/>
    </row>
    <row r="45" spans="1:7" ht="15.6">
      <c r="B45" s="13" t="s">
        <v>53</v>
      </c>
      <c r="C45" s="13"/>
      <c r="D45" s="13"/>
      <c r="F45" s="47"/>
      <c r="G45" s="10"/>
    </row>
    <row r="46" spans="1:7" ht="15.6">
      <c r="B46" s="13" t="s">
        <v>50</v>
      </c>
      <c r="C46" s="13"/>
      <c r="D46" s="13"/>
      <c r="F46" s="47"/>
      <c r="G46" s="10"/>
    </row>
    <row r="47" spans="1:7" ht="15.6">
      <c r="B47" s="13" t="s">
        <v>55</v>
      </c>
      <c r="C47" s="13"/>
      <c r="D47" s="13"/>
      <c r="F47" s="47"/>
      <c r="G47" s="10"/>
    </row>
    <row r="48" spans="1:7" ht="15.6">
      <c r="B48" s="13"/>
      <c r="C48" s="13"/>
      <c r="D48" s="13"/>
      <c r="F48" s="47"/>
      <c r="G48" s="10"/>
    </row>
    <row r="49" spans="1:9">
      <c r="A49" s="57" t="s">
        <v>18</v>
      </c>
      <c r="B49" s="57"/>
      <c r="C49" s="1"/>
      <c r="E49" s="1"/>
      <c r="F49" s="1"/>
      <c r="H49" s="1"/>
      <c r="I49" s="1"/>
    </row>
    <row r="50" spans="1:9">
      <c r="A50" s="24"/>
      <c r="B50" s="8" t="s">
        <v>36</v>
      </c>
      <c r="D50" s="9"/>
    </row>
    <row r="51" spans="1:9">
      <c r="A51" s="24"/>
      <c r="B51" s="8" t="s">
        <v>19</v>
      </c>
      <c r="C51" s="9"/>
      <c r="D51" s="8"/>
      <c r="E51" s="9"/>
      <c r="F51" s="9"/>
      <c r="G51"/>
    </row>
    <row r="52" spans="1:9">
      <c r="A52" s="24"/>
      <c r="B52" s="8" t="s">
        <v>41</v>
      </c>
      <c r="C52" s="9"/>
      <c r="D52" s="8"/>
      <c r="E52" s="9"/>
      <c r="F52" s="9"/>
      <c r="G52"/>
    </row>
    <row r="53" spans="1:9">
      <c r="A53" s="24"/>
      <c r="B53" s="8"/>
      <c r="C53" s="9"/>
      <c r="D53" s="8"/>
      <c r="E53" s="9"/>
      <c r="F53" s="9"/>
      <c r="G53"/>
    </row>
    <row r="54" spans="1:9">
      <c r="A54" s="24"/>
      <c r="B54" s="8"/>
      <c r="C54" s="9"/>
      <c r="D54" s="8"/>
      <c r="E54" s="9"/>
      <c r="F54" s="9"/>
      <c r="G54"/>
    </row>
    <row r="55" spans="1:9">
      <c r="A55" s="24"/>
      <c r="B55" s="8"/>
      <c r="C55" s="9"/>
      <c r="D55" s="8"/>
      <c r="E55" s="9"/>
      <c r="F55" s="9"/>
      <c r="G55"/>
    </row>
    <row r="56" spans="1:9">
      <c r="A56" s="8"/>
      <c r="B56" s="8"/>
      <c r="C56" s="8"/>
      <c r="E56" s="8"/>
      <c r="F56" s="8"/>
      <c r="G56" s="8"/>
    </row>
    <row r="57" spans="1:9">
      <c r="A57" s="5" t="s">
        <v>32</v>
      </c>
      <c r="B57" s="5"/>
    </row>
    <row r="58" spans="1:9">
      <c r="A58" s="5" t="s">
        <v>33</v>
      </c>
      <c r="B58" s="5"/>
    </row>
    <row r="59" spans="1:9">
      <c r="A59" s="5" t="s">
        <v>34</v>
      </c>
      <c r="B59" s="5"/>
    </row>
    <row r="60" spans="1:9">
      <c r="A60" s="5" t="s">
        <v>35</v>
      </c>
      <c r="B60" s="5"/>
    </row>
  </sheetData>
  <mergeCells count="7">
    <mergeCell ref="A21:G23"/>
    <mergeCell ref="A49:B49"/>
    <mergeCell ref="C1:E3"/>
    <mergeCell ref="F7:G7"/>
    <mergeCell ref="C6:E6"/>
    <mergeCell ref="D40:G40"/>
    <mergeCell ref="E13:G13"/>
  </mergeCells>
  <hyperlinks>
    <hyperlink ref="C13" r:id="rId1" xr:uid="{00000000-0004-0000-0000-000000000000}"/>
    <hyperlink ref="C14" r:id="rId2" xr:uid="{150BD04F-9CC0-4BA3-9FE3-F71D5350402F}"/>
    <hyperlink ref="E13" r:id="rId3" xr:uid="{DFBC7995-73EA-456B-A3F7-B1C5DA69C44B}"/>
  </hyperlinks>
  <pageMargins left="0.23622047244094491" right="0.23622047244094491" top="0.74803149606299213" bottom="0.74803149606299213" header="0.31496062992125984" footer="0.31496062992125984"/>
  <pageSetup scale="69" orientation="portrait" r:id="rId4"/>
  <headerFooter>
    <oddHeader xml:space="preserve">&amp;C
</oddHeader>
  </headerFooter>
  <rowBreaks count="1" manualBreakCount="1">
    <brk id="64" max="16383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03A4-26E1-4541-894A-44AEAB00486A}">
  <dimension ref="A1:S50"/>
  <sheetViews>
    <sheetView zoomScaleNormal="100" zoomScaleSheetLayoutView="100" workbookViewId="0">
      <selection activeCell="H11" sqref="H11"/>
    </sheetView>
  </sheetViews>
  <sheetFormatPr baseColWidth="10" defaultColWidth="11.5546875" defaultRowHeight="15"/>
  <cols>
    <col min="1" max="1" width="11.5546875" style="25"/>
    <col min="2" max="2" width="12.33203125" style="26" customWidth="1"/>
    <col min="3" max="4" width="11.5546875" style="30"/>
    <col min="5" max="5" width="16" style="26" customWidth="1"/>
    <col min="6" max="7" width="14.33203125" style="30" customWidth="1"/>
    <col min="8" max="8" width="44.5546875" style="26" customWidth="1"/>
    <col min="9" max="11" width="15.5546875" style="26" customWidth="1"/>
    <col min="12" max="12" width="18.88671875" style="26" customWidth="1"/>
    <col min="13" max="13" width="11.5546875" style="26"/>
    <col min="14" max="14" width="11.5546875" style="42"/>
    <col min="15" max="15" width="14.109375" style="26" bestFit="1" customWidth="1"/>
    <col min="16" max="17" width="11.5546875" style="26"/>
    <col min="18" max="18" width="14.109375" style="26" bestFit="1" customWidth="1"/>
    <col min="19" max="16384" width="11.5546875" style="26"/>
  </cols>
  <sheetData>
    <row r="1" spans="1:18" ht="22.8"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8" ht="17.399999999999999">
      <c r="B2" s="66" t="s">
        <v>20</v>
      </c>
      <c r="C2" s="66"/>
      <c r="D2" s="66"/>
      <c r="E2" s="66"/>
      <c r="F2" s="66"/>
      <c r="G2" s="66"/>
      <c r="H2" s="66"/>
      <c r="I2" s="66"/>
      <c r="J2" s="66"/>
      <c r="K2" s="66"/>
    </row>
    <row r="3" spans="1:18" ht="17.399999999999999">
      <c r="A3" s="27" t="s">
        <v>21</v>
      </c>
      <c r="B3" s="28" t="s">
        <v>22</v>
      </c>
      <c r="C3" s="29" t="s">
        <v>23</v>
      </c>
      <c r="D3" s="29" t="s">
        <v>24</v>
      </c>
      <c r="E3" s="28" t="s">
        <v>25</v>
      </c>
      <c r="F3" s="29" t="s">
        <v>26</v>
      </c>
      <c r="G3" s="29" t="s">
        <v>27</v>
      </c>
      <c r="H3" s="28" t="s">
        <v>28</v>
      </c>
      <c r="I3" s="28" t="s">
        <v>29</v>
      </c>
      <c r="J3" s="28" t="s">
        <v>30</v>
      </c>
      <c r="K3" s="28" t="s">
        <v>31</v>
      </c>
      <c r="L3" s="28" t="s">
        <v>11</v>
      </c>
      <c r="R3" s="38"/>
    </row>
    <row r="4" spans="1:18" ht="17.399999999999999">
      <c r="A4" s="27"/>
      <c r="B4" s="37"/>
      <c r="H4" s="35"/>
      <c r="I4" s="34"/>
      <c r="J4" s="34"/>
      <c r="K4" s="34"/>
      <c r="L4" s="34"/>
    </row>
    <row r="5" spans="1:18" ht="17.399999999999999">
      <c r="A5" s="27"/>
      <c r="B5" s="37"/>
      <c r="H5" s="35"/>
      <c r="I5" s="34"/>
      <c r="J5" s="34">
        <f t="shared" ref="J5:J10" si="0">I5*G5</f>
        <v>0</v>
      </c>
      <c r="K5" s="34">
        <f t="shared" ref="K5:K10" si="1">J5*0.16</f>
        <v>0</v>
      </c>
      <c r="L5" s="34">
        <f t="shared" ref="L5:L10" si="2">J5+K5</f>
        <v>0</v>
      </c>
    </row>
    <row r="6" spans="1:18" ht="17.399999999999999">
      <c r="A6" s="27"/>
      <c r="B6" s="37"/>
      <c r="H6" s="35"/>
      <c r="I6" s="34"/>
      <c r="J6" s="34">
        <f t="shared" si="0"/>
        <v>0</v>
      </c>
      <c r="K6" s="34">
        <f t="shared" si="1"/>
        <v>0</v>
      </c>
      <c r="L6" s="34">
        <f t="shared" si="2"/>
        <v>0</v>
      </c>
    </row>
    <row r="7" spans="1:18" ht="17.399999999999999">
      <c r="A7" s="27"/>
      <c r="B7" s="37"/>
      <c r="H7" s="35"/>
      <c r="I7" s="34"/>
      <c r="J7" s="34">
        <f t="shared" si="0"/>
        <v>0</v>
      </c>
      <c r="K7" s="34">
        <f t="shared" si="1"/>
        <v>0</v>
      </c>
      <c r="L7" s="34">
        <f t="shared" si="2"/>
        <v>0</v>
      </c>
    </row>
    <row r="8" spans="1:18" ht="17.399999999999999">
      <c r="A8" s="27"/>
      <c r="B8" s="37"/>
      <c r="H8" s="35"/>
      <c r="I8" s="34"/>
      <c r="J8" s="34">
        <f t="shared" si="0"/>
        <v>0</v>
      </c>
      <c r="K8" s="34">
        <f t="shared" si="1"/>
        <v>0</v>
      </c>
      <c r="L8" s="34">
        <f t="shared" si="2"/>
        <v>0</v>
      </c>
    </row>
    <row r="9" spans="1:18" ht="17.399999999999999">
      <c r="A9" s="27"/>
      <c r="B9" s="37"/>
      <c r="H9" s="35"/>
      <c r="I9" s="34"/>
      <c r="J9" s="34">
        <f t="shared" si="0"/>
        <v>0</v>
      </c>
      <c r="K9" s="34">
        <f t="shared" si="1"/>
        <v>0</v>
      </c>
      <c r="L9" s="34">
        <f t="shared" si="2"/>
        <v>0</v>
      </c>
    </row>
    <row r="10" spans="1:18" ht="17.399999999999999">
      <c r="A10" s="27"/>
      <c r="B10" s="37"/>
      <c r="H10" s="35"/>
      <c r="I10" s="34"/>
      <c r="J10" s="34">
        <f t="shared" si="0"/>
        <v>0</v>
      </c>
      <c r="K10" s="34">
        <f t="shared" si="1"/>
        <v>0</v>
      </c>
      <c r="L10" s="34">
        <f t="shared" si="2"/>
        <v>0</v>
      </c>
    </row>
    <row r="11" spans="1:18" ht="17.399999999999999">
      <c r="A11" s="27"/>
      <c r="B11" s="37"/>
      <c r="H11" s="35"/>
      <c r="I11" s="34"/>
      <c r="J11" s="34"/>
      <c r="K11" s="34"/>
      <c r="L11" s="34"/>
    </row>
    <row r="12" spans="1:18" ht="17.399999999999999">
      <c r="A12" s="27"/>
      <c r="B12" s="37"/>
      <c r="H12" s="35"/>
      <c r="I12" s="34"/>
      <c r="J12" s="34"/>
      <c r="K12" s="34"/>
      <c r="L12" s="34"/>
    </row>
    <row r="13" spans="1:18" ht="15.6">
      <c r="A13" s="30"/>
      <c r="B13" s="31"/>
      <c r="D13" s="32"/>
      <c r="E13" s="33"/>
      <c r="G13" s="10"/>
      <c r="H13" s="12"/>
      <c r="I13" s="40"/>
      <c r="J13" s="34"/>
      <c r="K13" s="34"/>
      <c r="L13" s="34"/>
    </row>
    <row r="14" spans="1:18" ht="17.399999999999999">
      <c r="A14" s="30"/>
      <c r="B14" s="31"/>
      <c r="D14" s="32"/>
      <c r="E14" s="33"/>
      <c r="G14" s="10"/>
      <c r="H14" s="12"/>
      <c r="I14" s="40"/>
      <c r="J14" s="41">
        <f>SUM(J4:J13)</f>
        <v>0</v>
      </c>
      <c r="K14" s="41">
        <f>J14*0.16</f>
        <v>0</v>
      </c>
      <c r="L14" s="41">
        <f>SUM(J14:K14)</f>
        <v>0</v>
      </c>
    </row>
    <row r="15" spans="1:18" ht="15.6">
      <c r="A15" s="30"/>
      <c r="B15" s="31"/>
      <c r="D15" s="32"/>
      <c r="E15" s="33"/>
      <c r="G15" s="10"/>
      <c r="H15" s="12"/>
      <c r="I15" s="40"/>
      <c r="J15" s="34"/>
      <c r="K15" s="34"/>
      <c r="L15" s="34"/>
    </row>
    <row r="16" spans="1:18" ht="15.6">
      <c r="A16" s="30"/>
      <c r="B16" s="31"/>
      <c r="D16" s="32"/>
      <c r="E16" s="33"/>
      <c r="G16" s="10"/>
      <c r="H16" s="12"/>
      <c r="I16" s="40"/>
      <c r="J16" s="34"/>
      <c r="K16" s="34"/>
      <c r="L16" s="34"/>
    </row>
    <row r="17" spans="1:12" ht="15.6">
      <c r="A17" s="30"/>
      <c r="B17" s="31"/>
      <c r="D17" s="32"/>
      <c r="E17" s="33"/>
      <c r="G17" s="10"/>
      <c r="H17" s="12"/>
      <c r="I17" s="40"/>
      <c r="J17" s="34"/>
      <c r="K17" s="34"/>
      <c r="L17" s="34"/>
    </row>
    <row r="18" spans="1:12" ht="15.6">
      <c r="A18" s="30"/>
      <c r="B18" s="31"/>
      <c r="D18" s="32"/>
      <c r="E18" s="33"/>
      <c r="G18" s="10"/>
      <c r="H18" s="12"/>
      <c r="I18" s="40"/>
      <c r="J18" s="34"/>
      <c r="K18" s="34"/>
      <c r="L18" s="34"/>
    </row>
    <row r="19" spans="1:12" ht="15.6">
      <c r="A19" s="30"/>
      <c r="B19" s="31"/>
      <c r="D19" s="32"/>
      <c r="E19" s="33"/>
      <c r="G19" s="10"/>
      <c r="H19" s="12"/>
      <c r="I19" s="40"/>
      <c r="J19" s="34"/>
      <c r="K19" s="34"/>
      <c r="L19" s="34"/>
    </row>
    <row r="20" spans="1:12" ht="15.6">
      <c r="A20" s="30"/>
      <c r="B20" s="31"/>
      <c r="D20" s="32"/>
      <c r="E20" s="33"/>
      <c r="G20" s="10"/>
      <c r="H20" s="12"/>
      <c r="I20" s="40"/>
      <c r="J20" s="34"/>
      <c r="K20" s="34"/>
      <c r="L20" s="34"/>
    </row>
    <row r="21" spans="1:12" ht="15.6">
      <c r="A21" s="30"/>
      <c r="B21" s="31"/>
      <c r="D21" s="32"/>
      <c r="E21" s="33"/>
      <c r="G21" s="10"/>
      <c r="H21" s="12"/>
      <c r="I21" s="40"/>
      <c r="J21" s="34"/>
      <c r="K21" s="34"/>
      <c r="L21" s="34"/>
    </row>
    <row r="22" spans="1:12" ht="15.6">
      <c r="A22" s="30"/>
      <c r="B22" s="31"/>
      <c r="D22" s="32"/>
      <c r="E22" s="33"/>
      <c r="G22" s="10"/>
      <c r="H22" s="12"/>
      <c r="I22" s="40"/>
      <c r="J22" s="34"/>
      <c r="K22" s="34"/>
      <c r="L22" s="34"/>
    </row>
    <row r="23" spans="1:12" ht="15.6">
      <c r="A23" s="30"/>
      <c r="B23" s="31"/>
      <c r="D23" s="32"/>
      <c r="E23" s="33"/>
      <c r="G23" s="10"/>
      <c r="H23" s="12"/>
      <c r="I23" s="40"/>
      <c r="J23" s="34"/>
      <c r="K23" s="34"/>
      <c r="L23" s="34"/>
    </row>
    <row r="24" spans="1:12" ht="15.6">
      <c r="A24" s="30"/>
      <c r="B24" s="31"/>
      <c r="D24" s="32"/>
      <c r="E24" s="33"/>
      <c r="G24" s="10"/>
      <c r="H24" s="12"/>
      <c r="I24" s="40"/>
      <c r="J24" s="34"/>
      <c r="K24" s="34"/>
      <c r="L24" s="34"/>
    </row>
    <row r="25" spans="1:12" ht="15.6">
      <c r="A25" s="30"/>
      <c r="B25" s="31"/>
      <c r="D25" s="32"/>
      <c r="E25" s="33"/>
      <c r="G25" s="10"/>
      <c r="H25" s="12"/>
      <c r="I25" s="40"/>
      <c r="J25" s="34"/>
      <c r="K25" s="34"/>
      <c r="L25" s="34"/>
    </row>
    <row r="26" spans="1:12" ht="15.6">
      <c r="A26" s="30"/>
      <c r="B26" s="31"/>
      <c r="D26" s="32"/>
      <c r="E26" s="33"/>
      <c r="G26" s="10"/>
      <c r="H26" s="12"/>
      <c r="I26" s="40"/>
      <c r="J26" s="34"/>
      <c r="K26" s="34"/>
      <c r="L26" s="34"/>
    </row>
    <row r="27" spans="1:12" ht="15.6">
      <c r="A27" s="30"/>
      <c r="B27" s="31"/>
      <c r="D27" s="32"/>
      <c r="E27" s="33"/>
      <c r="G27" s="10"/>
      <c r="H27" s="12"/>
      <c r="I27" s="40"/>
      <c r="J27" s="34"/>
      <c r="K27" s="34"/>
      <c r="L27" s="34"/>
    </row>
    <row r="28" spans="1:12" ht="15.6">
      <c r="A28" s="30"/>
      <c r="B28" s="31"/>
      <c r="D28" s="32"/>
      <c r="E28" s="33"/>
      <c r="G28" s="10"/>
      <c r="H28" s="12"/>
      <c r="I28" s="40"/>
      <c r="J28" s="34"/>
      <c r="K28" s="34"/>
      <c r="L28" s="34"/>
    </row>
    <row r="29" spans="1:12" ht="15.6">
      <c r="A29" s="30"/>
      <c r="B29" s="31"/>
      <c r="D29" s="32"/>
      <c r="E29" s="33"/>
      <c r="G29" s="10"/>
      <c r="H29" s="12"/>
      <c r="I29" s="40"/>
      <c r="J29" s="34"/>
      <c r="K29" s="34"/>
      <c r="L29" s="34"/>
    </row>
    <row r="30" spans="1:12" ht="15.6">
      <c r="A30" s="30"/>
      <c r="B30" s="31"/>
      <c r="D30" s="32"/>
      <c r="E30" s="33"/>
      <c r="G30" s="10"/>
      <c r="H30" s="12"/>
      <c r="I30" s="40"/>
      <c r="J30" s="34"/>
      <c r="K30" s="34"/>
      <c r="L30" s="34"/>
    </row>
    <row r="31" spans="1:12" ht="15.6">
      <c r="A31" s="30"/>
      <c r="B31" s="31"/>
      <c r="D31" s="32"/>
      <c r="E31" s="33"/>
      <c r="G31" s="10"/>
      <c r="H31" s="12"/>
      <c r="I31" s="40"/>
      <c r="J31" s="34"/>
      <c r="K31" s="34"/>
      <c r="L31" s="34"/>
    </row>
    <row r="32" spans="1:12" ht="15.6">
      <c r="A32" s="30"/>
      <c r="B32" s="31"/>
      <c r="D32" s="32"/>
      <c r="E32" s="33"/>
      <c r="G32" s="10"/>
      <c r="H32" s="12"/>
      <c r="I32" s="40"/>
      <c r="J32" s="34"/>
      <c r="K32" s="34"/>
      <c r="L32" s="34"/>
    </row>
    <row r="33" spans="1:12" ht="15.6">
      <c r="A33" s="30"/>
      <c r="B33" s="31"/>
      <c r="D33" s="32"/>
      <c r="E33" s="33"/>
      <c r="G33" s="10"/>
      <c r="H33" s="12"/>
      <c r="I33" s="40"/>
      <c r="J33" s="34"/>
      <c r="K33" s="34"/>
      <c r="L33" s="34"/>
    </row>
    <row r="34" spans="1:12" ht="15.6">
      <c r="A34" s="30"/>
      <c r="B34" s="31"/>
      <c r="D34" s="32"/>
      <c r="E34" s="33"/>
      <c r="G34" s="10"/>
      <c r="H34" s="12"/>
      <c r="I34" s="40"/>
      <c r="J34" s="34"/>
      <c r="K34" s="34"/>
      <c r="L34" s="34"/>
    </row>
    <row r="35" spans="1:12" ht="15.6">
      <c r="A35" s="30"/>
      <c r="B35" s="31"/>
      <c r="D35" s="32"/>
      <c r="E35" s="33"/>
      <c r="G35" s="10"/>
      <c r="H35" s="12"/>
      <c r="I35" s="40"/>
      <c r="J35" s="34"/>
      <c r="K35" s="34"/>
      <c r="L35" s="34"/>
    </row>
    <row r="36" spans="1:12" ht="15.6">
      <c r="A36" s="30"/>
      <c r="B36" s="31"/>
      <c r="D36" s="32"/>
      <c r="E36" s="33"/>
      <c r="G36" s="10"/>
      <c r="H36" s="12"/>
      <c r="I36" s="40"/>
      <c r="J36" s="34"/>
      <c r="K36" s="34"/>
      <c r="L36" s="34"/>
    </row>
    <row r="37" spans="1:12" ht="15.6">
      <c r="A37" s="30"/>
      <c r="B37" s="31"/>
      <c r="D37" s="32"/>
      <c r="E37" s="33"/>
      <c r="G37" s="10"/>
      <c r="H37" s="12"/>
      <c r="I37" s="40"/>
      <c r="J37" s="34"/>
      <c r="K37" s="34"/>
      <c r="L37" s="34"/>
    </row>
    <row r="38" spans="1:12" ht="15.6">
      <c r="A38" s="30"/>
      <c r="B38" s="31"/>
      <c r="D38" s="32"/>
      <c r="E38" s="33"/>
      <c r="G38" s="10"/>
      <c r="H38" s="12"/>
      <c r="I38" s="40"/>
      <c r="J38" s="34"/>
      <c r="K38" s="34"/>
      <c r="L38" s="34"/>
    </row>
    <row r="39" spans="1:12" ht="15.6">
      <c r="A39" s="30"/>
      <c r="B39" s="31"/>
      <c r="D39" s="32"/>
      <c r="E39" s="33"/>
      <c r="G39" s="10"/>
      <c r="H39" s="12"/>
      <c r="I39" s="40"/>
      <c r="J39" s="34"/>
      <c r="K39" s="34"/>
      <c r="L39" s="34"/>
    </row>
    <row r="40" spans="1:12" ht="15.6">
      <c r="A40" s="30"/>
      <c r="B40" s="31"/>
      <c r="D40" s="32"/>
      <c r="E40" s="33"/>
      <c r="G40" s="10"/>
      <c r="H40" s="12"/>
      <c r="I40" s="40"/>
      <c r="J40" s="34"/>
      <c r="K40" s="34"/>
      <c r="L40" s="34"/>
    </row>
    <row r="41" spans="1:12" ht="15.6">
      <c r="A41" s="30"/>
      <c r="B41" s="31"/>
      <c r="D41" s="32"/>
      <c r="E41" s="33"/>
      <c r="G41" s="10"/>
      <c r="H41" s="12"/>
      <c r="I41" s="40"/>
      <c r="J41" s="34"/>
      <c r="K41" s="34"/>
      <c r="L41" s="34"/>
    </row>
    <row r="42" spans="1:12" ht="15.6">
      <c r="A42" s="30"/>
      <c r="B42" s="31"/>
      <c r="D42" s="32"/>
      <c r="E42" s="33"/>
      <c r="G42" s="10"/>
      <c r="H42" s="12"/>
      <c r="I42" s="40"/>
      <c r="J42" s="34"/>
      <c r="K42" s="34"/>
      <c r="L42" s="34"/>
    </row>
    <row r="43" spans="1:12" ht="15.6">
      <c r="A43" s="30"/>
      <c r="B43" s="31"/>
      <c r="D43" s="32"/>
      <c r="E43" s="33"/>
      <c r="G43" s="10"/>
      <c r="H43" s="12"/>
      <c r="I43" s="40"/>
      <c r="J43" s="34"/>
      <c r="K43" s="34"/>
      <c r="L43" s="34"/>
    </row>
    <row r="44" spans="1:12" ht="15.6">
      <c r="A44" s="30"/>
      <c r="B44" s="31"/>
      <c r="D44" s="32"/>
      <c r="E44" s="33"/>
      <c r="G44" s="10"/>
      <c r="H44" s="12"/>
      <c r="I44" s="40"/>
      <c r="J44" s="34"/>
      <c r="K44" s="34"/>
      <c r="L44" s="34"/>
    </row>
    <row r="45" spans="1:12" ht="15.6">
      <c r="A45" s="30"/>
      <c r="B45" s="31"/>
      <c r="D45" s="32"/>
      <c r="E45" s="33"/>
      <c r="G45" s="10"/>
      <c r="H45" s="12"/>
      <c r="I45" s="40"/>
      <c r="J45" s="34"/>
      <c r="K45" s="34"/>
      <c r="L45" s="34"/>
    </row>
    <row r="46" spans="1:12" ht="15.6">
      <c r="A46" s="30"/>
      <c r="B46" s="31"/>
      <c r="D46" s="32"/>
      <c r="E46" s="33"/>
      <c r="G46" s="10"/>
      <c r="H46" s="12"/>
      <c r="I46" s="40"/>
      <c r="J46" s="34"/>
      <c r="K46" s="34"/>
      <c r="L46" s="34"/>
    </row>
    <row r="47" spans="1:12" ht="15.6">
      <c r="A47" s="30"/>
      <c r="B47" s="31"/>
      <c r="D47" s="32"/>
      <c r="E47" s="33"/>
      <c r="G47" s="10"/>
      <c r="H47" s="12"/>
      <c r="I47" s="40"/>
      <c r="J47" s="34"/>
      <c r="K47" s="34"/>
      <c r="L47" s="34"/>
    </row>
    <row r="48" spans="1:12" ht="15.6">
      <c r="A48" s="30"/>
      <c r="B48" s="31"/>
      <c r="D48" s="32"/>
      <c r="E48" s="33"/>
      <c r="G48" s="10"/>
      <c r="H48" s="12"/>
      <c r="I48" s="40"/>
      <c r="J48" s="34"/>
      <c r="K48" s="34"/>
      <c r="L48" s="34"/>
    </row>
    <row r="49" spans="1:19" ht="15.6">
      <c r="A49" s="30"/>
      <c r="B49" s="31"/>
      <c r="D49" s="32"/>
      <c r="E49" s="33"/>
      <c r="G49" s="10"/>
      <c r="H49" s="12"/>
      <c r="I49" s="40"/>
      <c r="J49" s="34"/>
      <c r="K49" s="34"/>
      <c r="L49" s="34"/>
    </row>
    <row r="50" spans="1:19" ht="15.6">
      <c r="D50" s="32"/>
      <c r="G50" s="10"/>
      <c r="H50" s="12"/>
      <c r="I50" s="40"/>
      <c r="J50" s="34"/>
      <c r="K50" s="34"/>
      <c r="L50" s="34"/>
      <c r="S50" s="39"/>
    </row>
  </sheetData>
  <mergeCells count="2">
    <mergeCell ref="B1:K1"/>
    <mergeCell ref="B2:K2"/>
  </mergeCells>
  <pageMargins left="0.7" right="0.7" top="0.75" bottom="0.75" header="0.3" footer="0.3"/>
  <pageSetup paperSize="9" scale="6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Hoja2</vt:lpstr>
      <vt:lpstr>excel</vt:lpstr>
      <vt:lpstr>Hoja2!Área_de_impresión</vt:lpstr>
      <vt:lpstr>Hoja2!Print_Area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Henry Javier Albarran Vargas</cp:lastModifiedBy>
  <cp:lastPrinted>2026-01-15T17:34:42Z</cp:lastPrinted>
  <dcterms:created xsi:type="dcterms:W3CDTF">2023-10-17T01:11:02Z</dcterms:created>
  <dcterms:modified xsi:type="dcterms:W3CDTF">2026-02-26T01:48:39Z</dcterms:modified>
</cp:coreProperties>
</file>