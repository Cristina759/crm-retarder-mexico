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196409a6dee2954/Documentos/"/>
    </mc:Choice>
  </mc:AlternateContent>
  <xr:revisionPtr revIDLastSave="1" documentId="8_{6F8090DA-44A7-4B45-A0BB-190F55C35713}" xr6:coauthVersionLast="47" xr6:coauthVersionMax="47" xr10:uidLastSave="{626BAB54-8880-4E4D-A3E0-C941779836E1}"/>
  <bookViews>
    <workbookView xWindow="-108" yWindow="-108" windowWidth="23256" windowHeight="12456" xr2:uid="{00000000-000D-0000-FFFF-FFFF00000000}"/>
  </bookViews>
  <sheets>
    <sheet name="Hoja2" sheetId="2" r:id="rId1"/>
  </sheets>
  <definedNames>
    <definedName name="_xlnm.Print_Area" localSheetId="0">Hoja2!$B$1:$H$82</definedName>
    <definedName name="Print_Area" localSheetId="0">Hoja2!$B$6:$H$80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" l="1"/>
  <c r="G54" i="2"/>
  <c r="G57" i="2" l="1"/>
  <c r="G58" i="2" l="1"/>
  <c r="G59" i="2" l="1"/>
</calcChain>
</file>

<file path=xl/sharedStrings.xml><?xml version="1.0" encoding="utf-8"?>
<sst xmlns="http://schemas.openxmlformats.org/spreadsheetml/2006/main" count="79" uniqueCount="73">
  <si>
    <t>COTIZACIÓN</t>
  </si>
  <si>
    <t>TERESA GUTIERREZ RAFAEL</t>
  </si>
  <si>
    <t>GURT721015BN8</t>
  </si>
  <si>
    <t xml:space="preserve">ARALIA 9 GRANJAS DE GUADALUPE </t>
  </si>
  <si>
    <t>DESCRIPCIÓN DE LA COTIZACIÓN</t>
  </si>
  <si>
    <t>CANT.</t>
  </si>
  <si>
    <t>UNID.</t>
  </si>
  <si>
    <t>DESCRIPCIÓN</t>
  </si>
  <si>
    <t>P. UNITARIO</t>
  </si>
  <si>
    <t>IMPORTE</t>
  </si>
  <si>
    <t>M.N.</t>
  </si>
  <si>
    <t>MON.</t>
  </si>
  <si>
    <t>SUBTOTAL</t>
  </si>
  <si>
    <t>I.V.A</t>
  </si>
  <si>
    <t>TOTAL</t>
  </si>
  <si>
    <t xml:space="preserve">NICOLÁS ROMERO </t>
  </si>
  <si>
    <t>ESTADO DE  MÉXICO, C.P. 54474</t>
  </si>
  <si>
    <t xml:space="preserve">  FOLIO:</t>
  </si>
  <si>
    <t xml:space="preserve">  FECHA:</t>
  </si>
  <si>
    <t xml:space="preserve">  SUCURSAL:</t>
  </si>
  <si>
    <r>
      <t xml:space="preserve">            </t>
    </r>
    <r>
      <rPr>
        <b/>
        <sz val="14"/>
        <color theme="1"/>
        <rFont val="Arial Narrow"/>
        <family val="2"/>
      </rPr>
      <t xml:space="preserve"> TERESA GUTIERREZ RAFAEL</t>
    </r>
  </si>
  <si>
    <t>NOTAS:</t>
  </si>
  <si>
    <t>*MONEDA NACIONAL, PRECIO SUJETO A CAMBIO SIN PREVIO AVISO</t>
  </si>
  <si>
    <t>*COTIZACIÓN VALIDA POR 8 DÍAS</t>
  </si>
  <si>
    <t>SIN MÁS POR EL MOMENTO, QUEDO ATENTA COMENTARIOS.</t>
  </si>
  <si>
    <t>CRISTINA VELASCO</t>
  </si>
  <si>
    <t>ÁREA DE VENTAS</t>
  </si>
  <si>
    <t>TEL. 55-7372-1633</t>
  </si>
  <si>
    <t>SERVICIO</t>
  </si>
  <si>
    <t>OBSERVACIONES:</t>
  </si>
  <si>
    <t xml:space="preserve">*REFACCIONES NO INCLUIDAS EN COTIZACIÓN, EN CASO DE </t>
  </si>
  <si>
    <t>ALGÚN CAMBIO DE PIEZA DAÑADA SE COTIZA POR SEPARADO</t>
  </si>
  <si>
    <t xml:space="preserve">SERVICIO PREVENTIVO </t>
  </si>
  <si>
    <t>QUE INCLUYE REVISIÓN DE:</t>
  </si>
  <si>
    <t>*SISTEMA MECÁNICO:</t>
  </si>
  <si>
    <t>• TORQUE A TORNILLERÍA</t>
  </si>
  <si>
    <t>• LIMPIEZA DE PANEL DE CONEXIONES</t>
  </si>
  <si>
    <t>• PLACAS LATERALES</t>
  </si>
  <si>
    <t>• HULES Y TORNILLERÍA EN GENERAL</t>
  </si>
  <si>
    <t>• REVISIÓN CARDANES Y CRUCETAS</t>
  </si>
  <si>
    <t>*ENGRASE DE EQUIPO SI LO REQUIERE SEGÚN LA MARCA</t>
  </si>
  <si>
    <t xml:space="preserve">*SISTEMA DE CONTROL ELÉCTRICO </t>
  </si>
  <si>
    <t>• PALANCA CONTROL</t>
  </si>
  <si>
    <t>• FOCO PILOTO</t>
  </si>
  <si>
    <t>• INTERRUPTOR</t>
  </si>
  <si>
    <t>• RELAY DE CORTE</t>
  </si>
  <si>
    <t>• ARNESES DE CONTROL Y TERMINALES</t>
  </si>
  <si>
    <t>• SENSOR DE VELOCIDAD</t>
  </si>
  <si>
    <t>• SISTEMA NEUMÁTICO</t>
  </si>
  <si>
    <t>*SISTEMA DE BATERÍAS:</t>
  </si>
  <si>
    <t>• CAJA DE CONTACTORES O ELÉCTRICA</t>
  </si>
  <si>
    <t>• MAZA Y POSITIVO</t>
  </si>
  <si>
    <t>• BLOCK DE CONEXIONES</t>
  </si>
  <si>
    <t>• CONSUMO DE AMPERAJE DE ACUERDO A LA FICHA TÉCNICA DEL FABRICANTE</t>
  </si>
  <si>
    <t>SI EN LA REVISIÓN NO SE CUMPLE CON LO ESTABLECIDO POR</t>
  </si>
  <si>
    <t xml:space="preserve">AUTORICE LOS TRABAJOS NECESARIOS Y EL FRENO </t>
  </si>
  <si>
    <t>QUEDE EN CONDICIONES REQUERIDAS.</t>
  </si>
  <si>
    <t xml:space="preserve">FABRICANTE SE LE INFORMA A CLIENTE PARA QUE </t>
  </si>
  <si>
    <t>• REVISIÓN DE  LUCES LED SOLICITADA POR GRUPO PEÑOLES</t>
  </si>
  <si>
    <t xml:space="preserve">*AL TERMINO DE SERVICIO SE PEGA CALCOMANIA Y SE ENTREGA ORDEN DE SERVICIO </t>
  </si>
  <si>
    <t>CORRESPONDIENTE</t>
  </si>
  <si>
    <t>(TUBO DE GRASA INCLUIDO)</t>
  </si>
  <si>
    <t>https://www.tgrpentarmexico.com/</t>
  </si>
  <si>
    <t>ventasyservicio@tgrpentarmexico.com</t>
  </si>
  <si>
    <t>serviciotecnico@tgrpentarmexico.com</t>
  </si>
  <si>
    <t>LE ENVIÓ COTIZACIÓN DE SERVICIO PREVENTIVO POR DOS UNIDADES</t>
  </si>
  <si>
    <t>XXX</t>
  </si>
  <si>
    <t>XXXXXXXX</t>
  </si>
  <si>
    <t>RETARDER MÉXICO</t>
  </si>
  <si>
    <t>GASTOS DE TRASLADO  A</t>
  </si>
  <si>
    <t>00/100 M.N.</t>
  </si>
  <si>
    <t>*PRECIO POR  UNIDAD</t>
  </si>
  <si>
    <t>3*----------------------------------------------------------------------------------------------------------------------------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</si>
</sst>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00"/>
    <numFmt numFmtId="165" formatCode="dd/mm/yyyy;@"/>
    <numFmt numFmtId="166" formatCode="yyyy/m/d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48"/>
      <color theme="1"/>
      <name val="Calisto MT"/>
      <family val="1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Arial Narrow"/>
      <family val="2"/>
    </font>
    <font>
      <b/>
      <sz val="12"/>
      <color rgb="FF3F3F3F"/>
      <name val="Arial Narrow"/>
      <family val="2"/>
    </font>
    <font>
      <sz val="11"/>
      <color rgb="FFFF0000"/>
      <name val="Calibri"/>
      <family val="2"/>
      <scheme val="minor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6"/>
      <color rgb="FFEC7C30"/>
      <name val="Arial Narrow"/>
      <family val="2"/>
    </font>
    <font>
      <u/>
      <sz val="14"/>
      <color theme="10"/>
      <name val="Arial Narrow"/>
      <family val="2"/>
    </font>
    <font>
      <b/>
      <i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i/>
      <sz val="11"/>
      <color theme="1"/>
      <name val="Calibri"/>
      <family val="2"/>
      <scheme val="minor"/>
    </font>
    <font>
      <b/>
      <sz val="36"/>
      <color theme="1"/>
      <name val="Calisto MT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99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0" borderId="0" xfId="0" applyFont="1"/>
    <xf numFmtId="0" fontId="7" fillId="0" borderId="0" xfId="0" applyFont="1"/>
    <xf numFmtId="166" fontId="0" fillId="0" borderId="0" xfId="0" applyNumberFormat="1"/>
    <xf numFmtId="0" fontId="5" fillId="0" borderId="0" xfId="0" applyFont="1" applyAlignment="1">
      <alignment horizontal="left" vertical="center"/>
    </xf>
    <xf numFmtId="0" fontId="8" fillId="0" borderId="0" xfId="0" applyFont="1"/>
    <xf numFmtId="0" fontId="3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0" fillId="3" borderId="0" xfId="2" applyFont="1" applyFill="1" applyBorder="1" applyAlignment="1">
      <alignment horizontal="center"/>
    </xf>
    <xf numFmtId="44" fontId="9" fillId="0" borderId="0" xfId="1" applyFont="1"/>
    <xf numFmtId="0" fontId="9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165" fontId="9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 vertical="center" shrinkToFit="1"/>
    </xf>
    <xf numFmtId="0" fontId="12" fillId="0" borderId="0" xfId="0" applyFont="1"/>
    <xf numFmtId="0" fontId="16" fillId="0" borderId="0" xfId="3" applyFont="1"/>
    <xf numFmtId="0" fontId="13" fillId="0" borderId="0" xfId="0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0" fontId="14" fillId="0" borderId="0" xfId="0" applyFont="1" applyAlignment="1">
      <alignment horizontal="right"/>
    </xf>
    <xf numFmtId="0" fontId="11" fillId="0" borderId="0" xfId="0" applyFont="1"/>
    <xf numFmtId="0" fontId="17" fillId="0" borderId="0" xfId="0" applyFont="1" applyAlignment="1">
      <alignment horizontal="right"/>
    </xf>
    <xf numFmtId="44" fontId="9" fillId="0" borderId="0" xfId="4" applyFont="1"/>
    <xf numFmtId="44" fontId="9" fillId="0" borderId="0" xfId="5" applyFont="1"/>
    <xf numFmtId="0" fontId="14" fillId="0" borderId="0" xfId="0" applyFont="1"/>
    <xf numFmtId="0" fontId="18" fillId="0" borderId="0" xfId="0" applyFont="1"/>
    <xf numFmtId="8" fontId="9" fillId="0" borderId="0" xfId="5" applyNumberFormat="1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44" fontId="0" fillId="0" borderId="0" xfId="1" applyFont="1"/>
    <xf numFmtId="0" fontId="2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21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0" fillId="0" borderId="0" xfId="0" applyAlignment="1">
      <alignment horizontal="left" wrapText="1"/>
    </xf>
    <xf numFmtId="0" fontId="16" fillId="0" borderId="0" xfId="3" applyFont="1" applyAlignment="1">
      <alignment horizontal="center"/>
    </xf>
    <xf numFmtId="0" fontId="12" fillId="0" borderId="0" xfId="0" applyFont="1" applyAlignment="1">
      <alignment horizontal="center"/>
    </xf>
  </cellXfs>
  <cellStyles count="7">
    <cellStyle name="Hipervínculo" xfId="3" builtinId="8"/>
    <cellStyle name="Moneda" xfId="1" builtinId="4"/>
    <cellStyle name="Moneda 2" xfId="4" xr:uid="{7634C713-6DF0-4981-9E7C-2B0FAFDC3D1A}"/>
    <cellStyle name="Moneda 3" xfId="5" xr:uid="{06B3D507-F138-4708-ADAE-50E91F86DE79}"/>
    <cellStyle name="Moneda 4" xfId="6" xr:uid="{C04C8ED5-AB2A-4A76-897F-22F09A9AF0CD}"/>
    <cellStyle name="Normal" xfId="0" builtinId="0"/>
    <cellStyle name="Salida" xfId="2" builtinId="21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1504951</xdr:colOff>
      <xdr:row>77</xdr:row>
      <xdr:rowOff>17146</xdr:rowOff>
    </xdr:from>
    <xdr:to>
      <xdr:col>7</xdr:col>
      <xdr:colOff>190501</xdr:colOff>
      <xdr:row>80</xdr:row>
      <xdr:rowOff>171450</xdr:rowOff>
    </xdr:to>
    <xdr:pic>
      <xdr:nvPicPr>
        <xdr:cNvPr id="5" name="Imagen 4" descr="Pentar Kloft Retarder">
          <a:extLst>
            <a:ext uri="{FF2B5EF4-FFF2-40B4-BE49-F238E27FC236}">
              <a16:creationId xmlns:a16="http://schemas.microsoft.com/office/drawing/2014/main" id="{E47D6FE4-41E6-660F-C95D-322ACF18DA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5" t="21520" r="2616" b="19759"/>
        <a:stretch/>
      </xdr:blipFill>
      <xdr:spPr bwMode="auto">
        <a:xfrm>
          <a:off x="4991101" y="15647671"/>
          <a:ext cx="3143250" cy="725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2025289</xdr:colOff>
      <xdr:row>6</xdr:row>
      <xdr:rowOff>179071</xdr:rowOff>
    </xdr:from>
    <xdr:ext cx="873942" cy="881902"/>
    <xdr:pic>
      <xdr:nvPicPr>
        <xdr:cNvPr id="4" name="image5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449" y="1466851"/>
          <a:ext cx="873942" cy="881902"/>
        </a:xfrm>
        <a:prstGeom prst="rect">
          <a:avLst/>
        </a:prstGeom>
      </xdr:spPr>
    </xdr:pic>
    <xdr:clientData/>
  </xdr:oneCellAnchor>
  <xdr:twoCellAnchor>
    <xdr:from>
      <xdr:col>3</xdr:col>
      <xdr:colOff>12188</xdr:colOff>
      <xdr:row>4</xdr:row>
      <xdr:rowOff>59845</xdr:rowOff>
    </xdr:from>
    <xdr:to>
      <xdr:col>6</xdr:col>
      <xdr:colOff>88468</xdr:colOff>
      <xdr:row>4</xdr:row>
      <xdr:rowOff>73512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414268" y="974245"/>
          <a:ext cx="4541600" cy="13667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7620</xdr:colOff>
      <xdr:row>0</xdr:row>
      <xdr:rowOff>0</xdr:rowOff>
    </xdr:from>
    <xdr:to>
      <xdr:col>2</xdr:col>
      <xdr:colOff>419100</xdr:colOff>
      <xdr:row>3</xdr:row>
      <xdr:rowOff>15932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745D7B-BBCB-36FF-CE1D-C9BF537B45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99" t="4626" r="22776" b="4982"/>
        <a:stretch/>
      </xdr:blipFill>
      <xdr:spPr bwMode="auto">
        <a:xfrm>
          <a:off x="512445" y="0"/>
          <a:ext cx="411480" cy="587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</xdr:colOff>
      <xdr:row>4</xdr:row>
      <xdr:rowOff>17145</xdr:rowOff>
    </xdr:from>
    <xdr:to>
      <xdr:col>2</xdr:col>
      <xdr:colOff>528155</xdr:colOff>
      <xdr:row>6</xdr:row>
      <xdr:rowOff>114300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F1F029D-28E1-E3AB-552C-35E85D0C4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6255" y="779145"/>
          <a:ext cx="516725" cy="4781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</xdr:row>
      <xdr:rowOff>66674</xdr:rowOff>
    </xdr:from>
    <xdr:to>
      <xdr:col>2</xdr:col>
      <xdr:colOff>504825</xdr:colOff>
      <xdr:row>9</xdr:row>
      <xdr:rowOff>97013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413B1CF-76AE-898F-BA69-1E04E55C7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4350" y="1400174"/>
          <a:ext cx="495300" cy="449439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0</xdr:row>
      <xdr:rowOff>66674</xdr:rowOff>
    </xdr:from>
    <xdr:to>
      <xdr:col>7</xdr:col>
      <xdr:colOff>586011</xdr:colOff>
      <xdr:row>5</xdr:row>
      <xdr:rowOff>38099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065D1A8-D9A0-A72E-A7FD-C6923DB71A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941" t="5098" r="2941" b="10980"/>
        <a:stretch>
          <a:fillRect/>
        </a:stretch>
      </xdr:blipFill>
      <xdr:spPr>
        <a:xfrm>
          <a:off x="7839075" y="66674"/>
          <a:ext cx="690786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grpentarmexico.com/" TargetMode="External"/><Relationship Id="rId2" Type="http://schemas.openxmlformats.org/officeDocument/2006/relationships/hyperlink" Target="mailto:ventasyservicio@tgrpentarmexico.com" TargetMode="External"/><Relationship Id="rId1" Type="http://schemas.openxmlformats.org/officeDocument/2006/relationships/hyperlink" Target="mailto:serviciotecnico@tgrpentarmexico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B1:AH80"/>
  <sheetViews>
    <sheetView showGridLines="0" tabSelected="1" view="pageBreakPreview" topLeftCell="A12" zoomScaleNormal="100" zoomScaleSheetLayoutView="100" zoomScalePageLayoutView="85" workbookViewId="0">
      <selection activeCell="AH17" sqref="AH17"/>
    </sheetView>
  </sheetViews>
  <sheetFormatPr baseColWidth="10" defaultRowHeight="14.4" x14ac:dyDescent="0.3"/>
  <cols>
    <col min="2" max="2" width="7.5546875" customWidth="1"/>
    <col min="3" max="3" width="12.88671875" customWidth="1"/>
    <col min="4" max="4" width="20.44140625" customWidth="1"/>
    <col min="5" max="5" width="41.6640625" customWidth="1"/>
    <col min="6" max="6" width="12.5546875" customWidth="1"/>
    <col min="7" max="7" width="12.5546875" bestFit="1" customWidth="1"/>
    <col min="8" max="8" width="16.109375" style="1" customWidth="1"/>
    <col min="9" max="9" width="3.6640625" customWidth="1"/>
    <col min="10" max="10" width="14.88671875" bestFit="1" customWidth="1"/>
  </cols>
  <sheetData>
    <row r="1" spans="3:11" x14ac:dyDescent="0.3">
      <c r="D1" s="39" t="s">
        <v>68</v>
      </c>
      <c r="E1" s="40"/>
      <c r="F1" s="40"/>
    </row>
    <row r="2" spans="3:11" x14ac:dyDescent="0.3">
      <c r="D2" s="40"/>
      <c r="E2" s="40"/>
      <c r="F2" s="40"/>
    </row>
    <row r="3" spans="3:11" x14ac:dyDescent="0.3">
      <c r="D3" s="40"/>
      <c r="E3" s="40"/>
      <c r="F3" s="40"/>
    </row>
    <row r="6" spans="3:11" ht="15" customHeight="1" x14ac:dyDescent="0.3">
      <c r="D6" s="42" t="s">
        <v>20</v>
      </c>
      <c r="E6" s="42"/>
      <c r="F6" s="42"/>
      <c r="H6"/>
      <c r="I6" s="4"/>
      <c r="J6" s="4"/>
    </row>
    <row r="7" spans="3:11" ht="15" customHeight="1" x14ac:dyDescent="0.3">
      <c r="G7" s="41" t="s">
        <v>0</v>
      </c>
      <c r="H7" s="41"/>
      <c r="I7" s="4"/>
      <c r="J7" s="4"/>
      <c r="K7" s="4"/>
    </row>
    <row r="8" spans="3:11" ht="15" customHeight="1" x14ac:dyDescent="0.35">
      <c r="D8" s="18" t="s">
        <v>1</v>
      </c>
      <c r="G8" s="13"/>
      <c r="H8" s="13"/>
    </row>
    <row r="9" spans="3:11" ht="18" x14ac:dyDescent="0.35">
      <c r="D9" s="18" t="s">
        <v>2</v>
      </c>
      <c r="G9" s="13"/>
      <c r="H9" s="10"/>
    </row>
    <row r="10" spans="3:11" ht="15" customHeight="1" x14ac:dyDescent="0.35">
      <c r="D10" s="18" t="s">
        <v>3</v>
      </c>
      <c r="F10" s="7"/>
      <c r="G10" s="14" t="s">
        <v>17</v>
      </c>
      <c r="H10" s="17" t="s">
        <v>66</v>
      </c>
    </row>
    <row r="11" spans="3:11" ht="15" customHeight="1" x14ac:dyDescent="0.35">
      <c r="D11" s="18" t="s">
        <v>15</v>
      </c>
      <c r="E11" s="18"/>
      <c r="G11" s="15" t="s">
        <v>18</v>
      </c>
      <c r="H11" s="16"/>
      <c r="J11" s="6"/>
    </row>
    <row r="12" spans="3:11" ht="15" customHeight="1" x14ac:dyDescent="0.35">
      <c r="D12" s="18" t="s">
        <v>16</v>
      </c>
      <c r="E12" s="18"/>
      <c r="G12" s="15" t="s">
        <v>19</v>
      </c>
      <c r="H12" s="10"/>
    </row>
    <row r="13" spans="3:11" ht="18" x14ac:dyDescent="0.35">
      <c r="C13" s="18"/>
      <c r="D13" s="19" t="s">
        <v>63</v>
      </c>
      <c r="E13" s="18"/>
      <c r="F13" s="45" t="s">
        <v>62</v>
      </c>
      <c r="G13" s="46"/>
      <c r="H13" s="46"/>
    </row>
    <row r="14" spans="3:11" ht="18" x14ac:dyDescent="0.35">
      <c r="C14" s="18"/>
      <c r="D14" s="19" t="s">
        <v>64</v>
      </c>
      <c r="E14" s="18"/>
    </row>
    <row r="15" spans="3:11" ht="18" x14ac:dyDescent="0.35">
      <c r="D15" s="19"/>
      <c r="E15" s="18"/>
    </row>
    <row r="17" spans="2:34" ht="18" x14ac:dyDescent="0.35">
      <c r="B17" s="20" t="s">
        <v>67</v>
      </c>
      <c r="C17" s="18"/>
      <c r="D17" s="18"/>
      <c r="E17" s="18"/>
      <c r="F17" s="18"/>
      <c r="G17" s="18"/>
      <c r="H17" s="18"/>
      <c r="AH17" t="s">
        <v>72</v>
      </c>
    </row>
    <row r="18" spans="2:34" ht="18" x14ac:dyDescent="0.35">
      <c r="B18" s="20" t="s">
        <v>67</v>
      </c>
      <c r="C18" s="18"/>
      <c r="D18" s="18"/>
      <c r="E18" s="18"/>
      <c r="F18" s="18"/>
      <c r="G18" s="18"/>
      <c r="H18" s="18"/>
    </row>
    <row r="19" spans="2:34" ht="18" x14ac:dyDescent="0.35">
      <c r="B19" s="20"/>
      <c r="C19" s="18"/>
      <c r="D19" s="18"/>
      <c r="E19" s="18"/>
      <c r="F19" s="18"/>
      <c r="G19" s="18"/>
      <c r="H19" s="18"/>
    </row>
    <row r="20" spans="2:34" ht="18" x14ac:dyDescent="0.35">
      <c r="B20" s="21" t="s">
        <v>4</v>
      </c>
      <c r="C20" s="22"/>
      <c r="D20" s="18"/>
      <c r="E20" s="23"/>
      <c r="F20" s="23"/>
      <c r="G20" s="23"/>
      <c r="H20" s="24"/>
      <c r="I20" s="2"/>
      <c r="J20" s="2"/>
      <c r="K20" s="2"/>
    </row>
    <row r="21" spans="2:34" x14ac:dyDescent="0.3">
      <c r="B21" s="37" t="s">
        <v>65</v>
      </c>
      <c r="C21" s="37"/>
      <c r="D21" s="37"/>
      <c r="E21" s="37"/>
      <c r="F21" s="37"/>
      <c r="G21" s="37"/>
      <c r="H21" s="37"/>
      <c r="I21" s="3"/>
      <c r="J21" s="3"/>
      <c r="K21" s="2"/>
    </row>
    <row r="22" spans="2:34" x14ac:dyDescent="0.3">
      <c r="B22" s="37"/>
      <c r="C22" s="37"/>
      <c r="D22" s="37"/>
      <c r="E22" s="37"/>
      <c r="F22" s="37"/>
      <c r="G22" s="37"/>
      <c r="H22" s="37"/>
      <c r="I22" s="3"/>
      <c r="J22" s="3"/>
      <c r="K22" s="2"/>
    </row>
    <row r="23" spans="2:34" x14ac:dyDescent="0.3">
      <c r="B23" s="37"/>
      <c r="C23" s="37"/>
      <c r="D23" s="37"/>
      <c r="E23" s="37"/>
      <c r="F23" s="37"/>
      <c r="G23" s="37"/>
      <c r="H23" s="37"/>
      <c r="I23" s="2"/>
      <c r="J23" s="2"/>
    </row>
    <row r="24" spans="2:34" ht="15.6" x14ac:dyDescent="0.3">
      <c r="C24" s="11" t="s">
        <v>5</v>
      </c>
      <c r="D24" s="11" t="s">
        <v>6</v>
      </c>
      <c r="E24" s="11" t="s">
        <v>7</v>
      </c>
      <c r="F24" s="11" t="s">
        <v>8</v>
      </c>
      <c r="G24" s="11" t="s">
        <v>9</v>
      </c>
      <c r="H24" s="11" t="s">
        <v>11</v>
      </c>
    </row>
    <row r="25" spans="2:34" ht="15.6" x14ac:dyDescent="0.3">
      <c r="C25" s="10">
        <v>2</v>
      </c>
      <c r="D25" s="10" t="s">
        <v>28</v>
      </c>
      <c r="E25" s="10" t="s">
        <v>32</v>
      </c>
      <c r="F25" s="32"/>
      <c r="G25" s="28">
        <f t="shared" ref="G25:G54" si="0">F25*C25</f>
        <v>0</v>
      </c>
      <c r="H25" s="10" t="s">
        <v>10</v>
      </c>
    </row>
    <row r="26" spans="2:34" ht="15.6" x14ac:dyDescent="0.3">
      <c r="C26" s="10"/>
      <c r="D26" s="10"/>
      <c r="E26" s="33" t="s">
        <v>33</v>
      </c>
      <c r="F26" s="29"/>
      <c r="G26" s="28"/>
      <c r="H26" s="10"/>
    </row>
    <row r="27" spans="2:34" ht="15.6" x14ac:dyDescent="0.3">
      <c r="C27" s="10"/>
      <c r="D27" s="10"/>
      <c r="E27" s="10"/>
      <c r="F27" s="29"/>
      <c r="G27" s="28"/>
      <c r="H27" s="10"/>
    </row>
    <row r="28" spans="2:34" ht="15.6" x14ac:dyDescent="0.3">
      <c r="C28" s="10"/>
      <c r="D28" s="10"/>
      <c r="E28" s="34" t="s">
        <v>34</v>
      </c>
      <c r="F28" s="29"/>
      <c r="G28" s="28"/>
      <c r="H28" s="10"/>
    </row>
    <row r="29" spans="2:34" ht="15.6" x14ac:dyDescent="0.3">
      <c r="C29" s="10"/>
      <c r="D29" s="10"/>
      <c r="E29" t="s">
        <v>35</v>
      </c>
      <c r="F29" s="29"/>
      <c r="G29" s="28"/>
      <c r="H29" s="10"/>
    </row>
    <row r="30" spans="2:34" ht="15.6" x14ac:dyDescent="0.3">
      <c r="C30" s="10"/>
      <c r="D30" s="10"/>
      <c r="E30" t="s">
        <v>36</v>
      </c>
      <c r="F30" s="29"/>
      <c r="G30" s="28"/>
      <c r="H30" s="10"/>
    </row>
    <row r="31" spans="2:34" ht="15.6" x14ac:dyDescent="0.3">
      <c r="C31" s="10"/>
      <c r="D31" s="10"/>
      <c r="E31" t="s">
        <v>37</v>
      </c>
      <c r="F31" s="29"/>
      <c r="G31" s="28"/>
      <c r="H31" s="10"/>
    </row>
    <row r="32" spans="2:34" ht="15.6" x14ac:dyDescent="0.3">
      <c r="C32" s="10"/>
      <c r="D32" s="10"/>
      <c r="E32" t="s">
        <v>38</v>
      </c>
      <c r="F32" s="29"/>
      <c r="G32" s="28"/>
      <c r="H32" s="10"/>
    </row>
    <row r="33" spans="3:8" ht="15.6" x14ac:dyDescent="0.3">
      <c r="C33" s="10"/>
      <c r="D33" s="10"/>
      <c r="E33" t="s">
        <v>39</v>
      </c>
      <c r="F33" s="29"/>
      <c r="G33" s="28"/>
      <c r="H33" s="10"/>
    </row>
    <row r="34" spans="3:8" ht="15.6" x14ac:dyDescent="0.3">
      <c r="C34" s="10"/>
      <c r="D34" s="10"/>
      <c r="E34" t="s">
        <v>40</v>
      </c>
      <c r="F34" s="29"/>
      <c r="G34" s="28"/>
      <c r="H34" s="10"/>
    </row>
    <row r="35" spans="3:8" ht="15.6" x14ac:dyDescent="0.3">
      <c r="C35" s="10"/>
      <c r="D35" s="10"/>
      <c r="E35" t="s">
        <v>61</v>
      </c>
      <c r="F35" s="29"/>
      <c r="G35" s="28"/>
      <c r="H35" s="10"/>
    </row>
    <row r="36" spans="3:8" ht="15.6" x14ac:dyDescent="0.3">
      <c r="C36" s="10"/>
      <c r="D36" s="10"/>
      <c r="E36" s="13"/>
      <c r="F36" s="29"/>
      <c r="G36" s="28"/>
      <c r="H36" s="10"/>
    </row>
    <row r="37" spans="3:8" ht="15.6" x14ac:dyDescent="0.3">
      <c r="C37" s="10"/>
      <c r="D37" s="10"/>
      <c r="E37" s="34" t="s">
        <v>41</v>
      </c>
      <c r="F37" s="35"/>
      <c r="G37" s="35"/>
    </row>
    <row r="38" spans="3:8" ht="15.6" x14ac:dyDescent="0.3">
      <c r="C38" s="10"/>
      <c r="D38" s="10"/>
      <c r="E38" t="s">
        <v>42</v>
      </c>
      <c r="F38" s="35"/>
      <c r="G38" s="35"/>
    </row>
    <row r="39" spans="3:8" ht="15.6" x14ac:dyDescent="0.3">
      <c r="C39" s="10"/>
      <c r="D39" s="10"/>
      <c r="E39" t="s">
        <v>43</v>
      </c>
      <c r="F39" s="35"/>
      <c r="G39" s="35"/>
    </row>
    <row r="40" spans="3:8" ht="15.6" x14ac:dyDescent="0.3">
      <c r="C40" s="10"/>
      <c r="D40" s="10"/>
      <c r="E40" t="s">
        <v>44</v>
      </c>
      <c r="F40" s="35"/>
      <c r="G40" s="35"/>
    </row>
    <row r="41" spans="3:8" ht="15.6" x14ac:dyDescent="0.3">
      <c r="C41" s="10"/>
      <c r="D41" s="10"/>
      <c r="E41" t="s">
        <v>45</v>
      </c>
      <c r="F41" s="35"/>
      <c r="G41" s="35"/>
    </row>
    <row r="42" spans="3:8" ht="15.6" x14ac:dyDescent="0.3">
      <c r="C42" s="10"/>
      <c r="D42" s="10"/>
      <c r="E42" t="s">
        <v>46</v>
      </c>
      <c r="F42" s="35"/>
      <c r="G42" s="35"/>
    </row>
    <row r="43" spans="3:8" ht="15.6" x14ac:dyDescent="0.3">
      <c r="C43" s="10"/>
      <c r="D43" s="10"/>
      <c r="E43" t="s">
        <v>47</v>
      </c>
      <c r="F43" s="35"/>
      <c r="G43" s="35"/>
    </row>
    <row r="44" spans="3:8" ht="15.6" x14ac:dyDescent="0.3">
      <c r="C44" s="10"/>
      <c r="D44" s="10"/>
      <c r="E44" t="s">
        <v>48</v>
      </c>
      <c r="F44" s="35"/>
      <c r="G44" s="35"/>
    </row>
    <row r="45" spans="3:8" ht="15.6" x14ac:dyDescent="0.3">
      <c r="C45" s="10"/>
      <c r="D45" s="10"/>
      <c r="E45" t="s">
        <v>58</v>
      </c>
      <c r="F45" s="35"/>
      <c r="G45" s="35"/>
    </row>
    <row r="46" spans="3:8" ht="15.6" x14ac:dyDescent="0.3">
      <c r="C46" s="10"/>
      <c r="D46" s="10"/>
      <c r="F46" s="35"/>
      <c r="G46" s="35"/>
    </row>
    <row r="47" spans="3:8" ht="15.6" x14ac:dyDescent="0.3">
      <c r="C47" s="10"/>
      <c r="D47" s="10"/>
      <c r="E47" s="36" t="s">
        <v>49</v>
      </c>
      <c r="F47" s="35"/>
      <c r="G47" s="35"/>
    </row>
    <row r="48" spans="3:8" ht="15.6" x14ac:dyDescent="0.3">
      <c r="C48" s="10"/>
      <c r="D48" s="10"/>
      <c r="E48" t="s">
        <v>50</v>
      </c>
      <c r="F48" s="35"/>
      <c r="G48" s="35"/>
    </row>
    <row r="49" spans="2:8" ht="15.6" x14ac:dyDescent="0.3">
      <c r="C49" s="10"/>
      <c r="D49" s="10"/>
      <c r="E49" t="s">
        <v>51</v>
      </c>
      <c r="F49" s="35"/>
      <c r="G49" s="35"/>
    </row>
    <row r="50" spans="2:8" ht="15.6" x14ac:dyDescent="0.3">
      <c r="C50" s="10"/>
      <c r="D50" s="10"/>
      <c r="E50" t="s">
        <v>52</v>
      </c>
      <c r="F50" s="35"/>
      <c r="G50" s="35"/>
    </row>
    <row r="51" spans="2:8" ht="15.6" x14ac:dyDescent="0.3">
      <c r="C51" s="10"/>
      <c r="D51" s="10"/>
      <c r="E51" s="44" t="s">
        <v>53</v>
      </c>
      <c r="F51" s="44"/>
      <c r="G51" s="44"/>
      <c r="H51" s="44"/>
    </row>
    <row r="52" spans="2:8" ht="15.6" x14ac:dyDescent="0.3">
      <c r="C52" s="10"/>
      <c r="D52" s="10"/>
      <c r="E52" s="13"/>
      <c r="F52" s="29"/>
      <c r="G52" s="28"/>
      <c r="H52" s="10"/>
    </row>
    <row r="53" spans="2:8" ht="15.6" x14ac:dyDescent="0.3">
      <c r="C53" s="10"/>
      <c r="D53" s="10"/>
      <c r="E53" s="13"/>
      <c r="F53" s="29"/>
      <c r="G53" s="28"/>
      <c r="H53" s="10"/>
    </row>
    <row r="54" spans="2:8" ht="15.6" x14ac:dyDescent="0.3">
      <c r="C54" s="10">
        <v>1</v>
      </c>
      <c r="D54" s="10" t="s">
        <v>28</v>
      </c>
      <c r="E54" s="13" t="s">
        <v>69</v>
      </c>
      <c r="F54" s="29"/>
      <c r="G54" s="28">
        <f t="shared" si="0"/>
        <v>0</v>
      </c>
      <c r="H54" s="10" t="s">
        <v>10</v>
      </c>
    </row>
    <row r="55" spans="2:8" ht="15.6" x14ac:dyDescent="0.3">
      <c r="C55" s="10"/>
      <c r="D55" s="10"/>
      <c r="E55" s="13"/>
      <c r="F55" s="29"/>
      <c r="G55" s="28"/>
      <c r="H55" s="10"/>
    </row>
    <row r="56" spans="2:8" ht="15.6" x14ac:dyDescent="0.3">
      <c r="C56" s="10"/>
      <c r="D56" s="10"/>
      <c r="E56" s="13"/>
      <c r="F56" s="12"/>
      <c r="G56" s="12"/>
      <c r="H56" s="10"/>
    </row>
    <row r="57" spans="2:8" ht="15.6" x14ac:dyDescent="0.3">
      <c r="C57" s="10"/>
      <c r="D57" s="10"/>
      <c r="E57" s="13"/>
      <c r="F57" s="25" t="s">
        <v>12</v>
      </c>
      <c r="G57" s="12">
        <f>SUM(G25:G55)</f>
        <v>0</v>
      </c>
      <c r="H57" s="10" t="s">
        <v>10</v>
      </c>
    </row>
    <row r="58" spans="2:8" ht="15.6" x14ac:dyDescent="0.3">
      <c r="C58" s="10"/>
      <c r="D58" s="10"/>
      <c r="E58" s="13"/>
      <c r="F58" s="25" t="s">
        <v>13</v>
      </c>
      <c r="G58" s="12">
        <f>G57*16%</f>
        <v>0</v>
      </c>
      <c r="H58" s="10" t="s">
        <v>10</v>
      </c>
    </row>
    <row r="59" spans="2:8" ht="15.6" x14ac:dyDescent="0.3">
      <c r="C59" s="10"/>
      <c r="D59" s="10"/>
      <c r="E59" s="13"/>
      <c r="F59" s="25" t="s">
        <v>14</v>
      </c>
      <c r="G59" s="12">
        <f>G57+G58</f>
        <v>0</v>
      </c>
      <c r="H59" s="10" t="s">
        <v>10</v>
      </c>
    </row>
    <row r="60" spans="2:8" ht="15.6" x14ac:dyDescent="0.3">
      <c r="C60" s="13"/>
      <c r="D60" s="13"/>
      <c r="E60" s="13"/>
      <c r="F60" s="13"/>
      <c r="G60" s="13"/>
      <c r="H60" s="10"/>
    </row>
    <row r="61" spans="2:8" ht="15.6" x14ac:dyDescent="0.3">
      <c r="C61" s="13"/>
      <c r="D61" s="43" t="s">
        <v>70</v>
      </c>
      <c r="E61" s="43"/>
      <c r="F61" s="43"/>
      <c r="G61" s="43"/>
      <c r="H61" s="43"/>
    </row>
    <row r="62" spans="2:8" ht="15.6" x14ac:dyDescent="0.3">
      <c r="C62" s="13"/>
      <c r="D62" s="27"/>
      <c r="E62" s="27"/>
      <c r="F62" s="27"/>
      <c r="G62" s="27"/>
      <c r="H62" s="27"/>
    </row>
    <row r="63" spans="2:8" ht="15.6" x14ac:dyDescent="0.3">
      <c r="B63" s="30" t="s">
        <v>29</v>
      </c>
      <c r="C63" s="13"/>
      <c r="D63" s="27"/>
      <c r="E63" s="27"/>
      <c r="F63" s="27"/>
      <c r="G63" s="27"/>
      <c r="H63" s="27"/>
    </row>
    <row r="64" spans="2:8" ht="15.6" x14ac:dyDescent="0.3">
      <c r="C64" s="31" t="s">
        <v>71</v>
      </c>
      <c r="D64" s="27"/>
      <c r="E64" s="27"/>
      <c r="F64" s="27"/>
      <c r="G64" s="27"/>
      <c r="H64" s="27"/>
    </row>
    <row r="65" spans="2:10" ht="15.6" x14ac:dyDescent="0.3">
      <c r="C65" s="31" t="s">
        <v>30</v>
      </c>
      <c r="D65" s="27"/>
      <c r="E65" s="27"/>
      <c r="F65" s="27"/>
      <c r="G65" s="27"/>
      <c r="H65" s="27"/>
    </row>
    <row r="66" spans="2:10" ht="15.6" x14ac:dyDescent="0.3">
      <c r="C66" s="31" t="s">
        <v>31</v>
      </c>
      <c r="D66" s="27"/>
      <c r="E66" s="27"/>
      <c r="F66" s="27"/>
      <c r="G66" s="27"/>
      <c r="H66" s="27"/>
    </row>
    <row r="67" spans="2:10" ht="15.6" x14ac:dyDescent="0.3">
      <c r="C67" s="31" t="s">
        <v>54</v>
      </c>
      <c r="D67" s="27"/>
      <c r="E67" s="27"/>
      <c r="F67" s="27"/>
      <c r="G67" s="27"/>
      <c r="H67" s="27"/>
    </row>
    <row r="68" spans="2:10" ht="15.6" x14ac:dyDescent="0.3">
      <c r="C68" s="31" t="s">
        <v>57</v>
      </c>
      <c r="D68" s="27"/>
      <c r="E68" s="27"/>
      <c r="F68" s="27"/>
      <c r="G68" s="27"/>
      <c r="H68" s="27"/>
    </row>
    <row r="69" spans="2:10" ht="15.6" x14ac:dyDescent="0.3">
      <c r="B69" s="13"/>
      <c r="C69" s="31" t="s">
        <v>55</v>
      </c>
      <c r="D69" s="13"/>
      <c r="E69" s="13"/>
      <c r="F69" s="13"/>
      <c r="G69" s="13"/>
    </row>
    <row r="70" spans="2:10" ht="15.6" x14ac:dyDescent="0.3">
      <c r="B70" s="13"/>
      <c r="C70" s="31" t="s">
        <v>56</v>
      </c>
      <c r="D70" s="13"/>
      <c r="E70" s="13"/>
      <c r="F70" s="13"/>
      <c r="G70" s="13"/>
    </row>
    <row r="71" spans="2:10" ht="15.6" x14ac:dyDescent="0.3">
      <c r="B71" s="13"/>
      <c r="C71" s="30"/>
      <c r="D71" s="13"/>
      <c r="E71" s="13"/>
      <c r="F71" s="13"/>
      <c r="G71" s="13"/>
    </row>
    <row r="72" spans="2:10" x14ac:dyDescent="0.3">
      <c r="B72" s="38" t="s">
        <v>21</v>
      </c>
      <c r="C72" s="38"/>
      <c r="D72" s="1"/>
      <c r="E72" s="1"/>
      <c r="F72" s="1"/>
      <c r="G72" s="1"/>
      <c r="I72" s="1"/>
      <c r="J72" s="1"/>
    </row>
    <row r="73" spans="2:10" x14ac:dyDescent="0.3">
      <c r="B73" s="26"/>
      <c r="C73" s="8" t="s">
        <v>22</v>
      </c>
    </row>
    <row r="74" spans="2:10" x14ac:dyDescent="0.3">
      <c r="B74" s="26"/>
      <c r="C74" s="8" t="s">
        <v>23</v>
      </c>
      <c r="D74" s="9"/>
      <c r="E74" s="9"/>
      <c r="F74" s="9"/>
      <c r="G74" s="9"/>
      <c r="H74"/>
    </row>
    <row r="75" spans="2:10" x14ac:dyDescent="0.3">
      <c r="B75" s="8"/>
      <c r="C75" s="8" t="s">
        <v>59</v>
      </c>
      <c r="D75" s="8"/>
      <c r="E75" s="8"/>
      <c r="F75" s="8"/>
      <c r="G75" s="8"/>
      <c r="H75" s="8"/>
    </row>
    <row r="76" spans="2:10" x14ac:dyDescent="0.3">
      <c r="B76" s="8"/>
      <c r="C76" s="8" t="s">
        <v>60</v>
      </c>
      <c r="D76" s="8"/>
      <c r="E76" s="8"/>
      <c r="F76" s="8"/>
      <c r="G76" s="8"/>
      <c r="H76" s="8"/>
    </row>
    <row r="77" spans="2:10" x14ac:dyDescent="0.3">
      <c r="B77" s="5" t="s">
        <v>24</v>
      </c>
      <c r="C77" s="5"/>
    </row>
    <row r="78" spans="2:10" x14ac:dyDescent="0.3">
      <c r="B78" s="5" t="s">
        <v>25</v>
      </c>
      <c r="C78" s="5"/>
    </row>
    <row r="79" spans="2:10" x14ac:dyDescent="0.3">
      <c r="B79" s="5" t="s">
        <v>26</v>
      </c>
      <c r="C79" s="5"/>
    </row>
    <row r="80" spans="2:10" x14ac:dyDescent="0.3">
      <c r="B80" s="5" t="s">
        <v>27</v>
      </c>
      <c r="C80" s="5"/>
    </row>
  </sheetData>
  <mergeCells count="8">
    <mergeCell ref="B21:H23"/>
    <mergeCell ref="B72:C72"/>
    <mergeCell ref="D1:F3"/>
    <mergeCell ref="G7:H7"/>
    <mergeCell ref="D6:F6"/>
    <mergeCell ref="D61:H61"/>
    <mergeCell ref="E51:H51"/>
    <mergeCell ref="F13:H13"/>
  </mergeCells>
  <hyperlinks>
    <hyperlink ref="D14" r:id="rId1" xr:uid="{150BD04F-9CC0-4BA3-9FE3-F71D5350402F}"/>
    <hyperlink ref="D13" r:id="rId2" xr:uid="{0329AED4-5039-483D-93D2-9C782CCCAF4C}"/>
    <hyperlink ref="F13" r:id="rId3" xr:uid="{54931572-89A5-40E5-B050-0C3F69C2FBC4}"/>
  </hyperlinks>
  <pageMargins left="0.7" right="0.7" top="0.75" bottom="0.75" header="0.3" footer="0.3"/>
  <pageSetup paperSize="9" scale="57" orientation="portrait" r:id="rId4"/>
  <headerFooter>
    <oddHeader xml:space="preserve">&amp;C
</oddHeader>
  </headerFooter>
  <rowBreaks count="1" manualBreakCount="1">
    <brk id="84" max="16383" man="1"/>
  </rowBreak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Hoja2</vt:lpstr>
      <vt:lpstr>Hoja2!Área_de_impresión</vt:lpstr>
      <vt:lpstr>Hoja2!Print_Area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Henry Javier Albarran Vargas</cp:lastModifiedBy>
  <cp:lastPrinted>2026-01-20T21:04:58Z</cp:lastPrinted>
  <dcterms:created xsi:type="dcterms:W3CDTF">2023-10-17T01:11:02Z</dcterms:created>
  <dcterms:modified xsi:type="dcterms:W3CDTF">2026-02-11T09:29:55Z</dcterms:modified>
</cp:coreProperties>
</file>