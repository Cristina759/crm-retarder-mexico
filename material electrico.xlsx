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575BE7D-7B9E-4D19-9D37-26E22D8433C5}" xr6:coauthVersionLast="47" xr6:coauthVersionMax="47" xr10:uidLastSave="{00000000-0000-0000-0000-000000000000}"/>
  <bookViews>
    <workbookView xWindow="-108" yWindow="-108" windowWidth="23256" windowHeight="12456" xr2:uid="{999EA81B-7485-4550-8EB6-050D52C475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1" l="1"/>
  <c r="G45" i="1"/>
  <c r="I45" i="1" s="1"/>
  <c r="I44" i="1"/>
  <c r="H44" i="1"/>
  <c r="G44" i="1"/>
  <c r="G43" i="1"/>
  <c r="H43" i="1" s="1"/>
  <c r="I43" i="1" s="1"/>
  <c r="G42" i="1"/>
  <c r="G41" i="1"/>
  <c r="H41" i="1" s="1"/>
  <c r="G40" i="1"/>
  <c r="H39" i="1"/>
  <c r="I39" i="1" s="1"/>
  <c r="G39" i="1"/>
  <c r="H38" i="1"/>
  <c r="G38" i="1"/>
  <c r="I38" i="1" s="1"/>
  <c r="H37" i="1"/>
  <c r="G37" i="1"/>
  <c r="I37" i="1" s="1"/>
  <c r="I36" i="1"/>
  <c r="H36" i="1"/>
  <c r="G36" i="1"/>
  <c r="G35" i="1"/>
  <c r="H35" i="1" s="1"/>
  <c r="I35" i="1" s="1"/>
  <c r="G34" i="1"/>
  <c r="G33" i="1"/>
  <c r="H33" i="1" s="1"/>
  <c r="G32" i="1"/>
  <c r="H31" i="1"/>
  <c r="I31" i="1" s="1"/>
  <c r="G31" i="1"/>
  <c r="H30" i="1"/>
  <c r="G30" i="1"/>
  <c r="I30" i="1" s="1"/>
  <c r="H29" i="1"/>
  <c r="G29" i="1"/>
  <c r="I29" i="1" s="1"/>
  <c r="I28" i="1"/>
  <c r="H28" i="1"/>
  <c r="G28" i="1"/>
  <c r="G27" i="1"/>
  <c r="H27" i="1" s="1"/>
  <c r="I27" i="1" s="1"/>
  <c r="G26" i="1"/>
  <c r="G25" i="1"/>
  <c r="H25" i="1" s="1"/>
  <c r="G24" i="1"/>
  <c r="H23" i="1"/>
  <c r="I23" i="1" s="1"/>
  <c r="G23" i="1"/>
  <c r="H22" i="1"/>
  <c r="G22" i="1"/>
  <c r="I22" i="1" s="1"/>
  <c r="H21" i="1"/>
  <c r="G21" i="1"/>
  <c r="I21" i="1" s="1"/>
  <c r="I20" i="1"/>
  <c r="H20" i="1"/>
  <c r="G20" i="1"/>
  <c r="G19" i="1"/>
  <c r="H19" i="1" s="1"/>
  <c r="I19" i="1" s="1"/>
  <c r="G18" i="1"/>
  <c r="G17" i="1"/>
  <c r="H17" i="1" s="1"/>
  <c r="G16" i="1"/>
  <c r="H15" i="1"/>
  <c r="I15" i="1" s="1"/>
  <c r="G15" i="1"/>
  <c r="H14" i="1"/>
  <c r="G14" i="1"/>
  <c r="I14" i="1" s="1"/>
  <c r="H13" i="1"/>
  <c r="G13" i="1"/>
  <c r="I13" i="1" s="1"/>
  <c r="I12" i="1"/>
  <c r="H12" i="1"/>
  <c r="G12" i="1"/>
  <c r="G11" i="1"/>
  <c r="H11" i="1" s="1"/>
  <c r="I11" i="1" s="1"/>
  <c r="G10" i="1"/>
  <c r="G9" i="1"/>
  <c r="H9" i="1" s="1"/>
  <c r="G8" i="1"/>
  <c r="H7" i="1"/>
  <c r="I7" i="1" s="1"/>
  <c r="G7" i="1"/>
  <c r="H6" i="1"/>
  <c r="G6" i="1"/>
  <c r="I6" i="1" s="1"/>
  <c r="H5" i="1"/>
  <c r="G5" i="1"/>
  <c r="I5" i="1" s="1"/>
  <c r="H4" i="1"/>
  <c r="G4" i="1"/>
  <c r="H3" i="1"/>
  <c r="G3" i="1"/>
  <c r="I3" i="1" s="1"/>
  <c r="I24" i="1" l="1"/>
  <c r="I8" i="1"/>
  <c r="I42" i="1"/>
  <c r="I18" i="1"/>
  <c r="I9" i="1"/>
  <c r="I17" i="1"/>
  <c r="I25" i="1"/>
  <c r="I33" i="1"/>
  <c r="I41" i="1"/>
  <c r="H10" i="1"/>
  <c r="I10" i="1" s="1"/>
  <c r="H18" i="1"/>
  <c r="H26" i="1"/>
  <c r="I26" i="1" s="1"/>
  <c r="H34" i="1"/>
  <c r="I34" i="1" s="1"/>
  <c r="H42" i="1"/>
  <c r="H8" i="1"/>
  <c r="H32" i="1"/>
  <c r="I32" i="1" s="1"/>
  <c r="H40" i="1"/>
  <c r="I40" i="1" s="1"/>
  <c r="H16" i="1"/>
  <c r="I16" i="1" s="1"/>
  <c r="H24" i="1"/>
  <c r="G52" i="1"/>
  <c r="H52" i="1" l="1"/>
  <c r="I52" i="1" s="1"/>
</calcChain>
</file>

<file path=xl/sharedStrings.xml><?xml version="1.0" encoding="utf-8"?>
<sst xmlns="http://schemas.openxmlformats.org/spreadsheetml/2006/main" count="47" uniqueCount="46">
  <si>
    <t>CANTIDAD</t>
  </si>
  <si>
    <t>CONCEPTO</t>
  </si>
  <si>
    <t>PRECIO UNI.</t>
  </si>
  <si>
    <t>PRECIO</t>
  </si>
  <si>
    <t>IVA</t>
  </si>
  <si>
    <t>TOTAL</t>
  </si>
  <si>
    <t>CAJA MECANICA</t>
  </si>
  <si>
    <t>PALANCA CONTROL</t>
  </si>
  <si>
    <t>Relay de Corte de velocidad</t>
  </si>
  <si>
    <t>CABLE 4 VIAS</t>
  </si>
  <si>
    <t>CABLE CALIBRE # 0 CORRIENTE GRUESO (01 X 2AWG (35 mm2)</t>
  </si>
  <si>
    <t>CABLE CALIBRE # 0 TIERRA DELGADO (01 X4AWG (25 mm2)</t>
  </si>
  <si>
    <t>CABLE 7 VIAS</t>
  </si>
  <si>
    <t>FOCO PILOTO</t>
  </si>
  <si>
    <t>KIT DE TERMINALES</t>
  </si>
  <si>
    <t>TORNILLOS SUJECCIÓN DE CAJA 5/16 *1/2</t>
  </si>
  <si>
    <t>TUERCAS SUJECCION DE CAJA 5/16 *1/2</t>
  </si>
  <si>
    <t>ARANDELAS DE PRESION 5/16 *1/2</t>
  </si>
  <si>
    <t>CABLE CALIBRE 14</t>
  </si>
  <si>
    <t>CABLE NEGATIVO CALIBRE 8</t>
  </si>
  <si>
    <t>MANTA FOIL</t>
  </si>
  <si>
    <t>INTERRUPTOR COLA RATA REFORSADO</t>
  </si>
  <si>
    <t>CONECTOR 4 VIAS SENSOR DE CLIP</t>
  </si>
  <si>
    <t>FUSIBLE 1 AMP</t>
  </si>
  <si>
    <t>FUSIBLE 5 AMP</t>
  </si>
  <si>
    <t>PORTAFUSIBLE</t>
  </si>
  <si>
    <t>POLIFLEX 1/2</t>
  </si>
  <si>
    <t>POLIFLEX 1/4</t>
  </si>
  <si>
    <t>POLIFLEX 3/4</t>
  </si>
  <si>
    <t>POLIFLEX 3/8</t>
  </si>
  <si>
    <t>CINCHOS</t>
  </si>
  <si>
    <t>CINTA DE AISLAR NEGRA</t>
  </si>
  <si>
    <t>CINTA DE AISLAR ROJA</t>
  </si>
  <si>
    <t>PINTURA NEGRA</t>
  </si>
  <si>
    <t>ALMEJA</t>
  </si>
  <si>
    <t>TERMINAL DE OJILLO 5/16 CAL 14</t>
  </si>
  <si>
    <t>TERMINAL DEL #8 CAL 10</t>
  </si>
  <si>
    <t>TERMINAL ENCHUFE FORRADA ROJA</t>
  </si>
  <si>
    <t>TERMINAL ESPADA CALIBRE #14</t>
  </si>
  <si>
    <t>TERMINAL OJILLO AZUL DE 1/4 MASA CAJA CONTACTORES</t>
  </si>
  <si>
    <t>TERMINALES DE OJILLO CAL "0" * 5/16</t>
  </si>
  <si>
    <t>TERMINALES DE OJILLO CAL 0 * 3/8</t>
  </si>
  <si>
    <t>TERMO CONTRACTIL 3/8</t>
  </si>
  <si>
    <t>TERMOCONTRACTIL DE 3/4" PARA CALIBRE 0</t>
  </si>
  <si>
    <t>TOPES CONECTOR</t>
  </si>
  <si>
    <t>Kit Neumatico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</si>
</sst>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</font>
    <font>
      <sz val="12"/>
      <color theme="1"/>
      <name val="Aptos Narrow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164" fontId="3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D14A-8C18-446F-9D02-CA54AFDFBD84}">
  <dimension ref="D2:I56"/>
  <sheetViews>
    <sheetView tabSelected="1" topLeftCell="A27" workbookViewId="0">
      <selection activeCell="M49" sqref="M49"/>
    </sheetView>
  </sheetViews>
  <sheetFormatPr baseColWidth="10" defaultRowHeight="14.4" x14ac:dyDescent="0.3"/>
  <cols>
    <col min="4" max="4" width="14.88671875" customWidth="1"/>
    <col min="5" max="5" width="46.33203125" customWidth="1"/>
    <col min="6" max="6" width="17.6640625" customWidth="1"/>
    <col min="7" max="7" width="14.109375" bestFit="1" customWidth="1"/>
    <col min="8" max="8" width="16" customWidth="1"/>
    <col min="9" max="9" width="16.44140625" customWidth="1"/>
  </cols>
  <sheetData>
    <row r="2" spans="4:9" ht="18" x14ac:dyDescent="0.35">
      <c r="D2" s="1" t="s">
        <v>0</v>
      </c>
      <c r="E2" s="2" t="s">
        <v>1</v>
      </c>
      <c r="F2" s="2" t="s">
        <v>2</v>
      </c>
      <c r="G2" s="2" t="s">
        <v>3</v>
      </c>
      <c r="H2" s="3" t="s">
        <v>4</v>
      </c>
      <c r="I2" s="3" t="s">
        <v>5</v>
      </c>
    </row>
    <row r="3" spans="4:9" ht="15.6" x14ac:dyDescent="0.3">
      <c r="D3" s="4">
        <v>1</v>
      </c>
      <c r="E3" s="5" t="s">
        <v>6</v>
      </c>
      <c r="F3" s="6">
        <v>13481.86</v>
      </c>
      <c r="G3" s="6">
        <f t="shared" ref="G3:G45" si="0">F3*D3</f>
        <v>13481.86</v>
      </c>
      <c r="H3" s="6">
        <f t="shared" ref="H3:H45" si="1">G3*0.16</f>
        <v>2157.0976000000001</v>
      </c>
      <c r="I3" s="6">
        <f t="shared" ref="I3:I45" si="2">G3+H3</f>
        <v>15638.957600000002</v>
      </c>
    </row>
    <row r="4" spans="4:9" ht="15.6" x14ac:dyDescent="0.3">
      <c r="D4" s="4">
        <v>1</v>
      </c>
      <c r="E4" s="5" t="s">
        <v>7</v>
      </c>
      <c r="F4" s="6">
        <v>3672.29</v>
      </c>
      <c r="G4" s="6">
        <f>F4*D4</f>
        <v>3672.29</v>
      </c>
      <c r="H4" s="6">
        <f>G4*0.16</f>
        <v>587.56640000000004</v>
      </c>
      <c r="I4" s="6"/>
    </row>
    <row r="5" spans="4:9" ht="15.6" x14ac:dyDescent="0.3">
      <c r="D5" s="4">
        <v>1</v>
      </c>
      <c r="E5" s="5" t="s">
        <v>8</v>
      </c>
      <c r="F5" s="6">
        <v>6829.88</v>
      </c>
      <c r="G5" s="6">
        <f>F5*D5</f>
        <v>6829.88</v>
      </c>
      <c r="H5" s="6">
        <f>G5*0.16</f>
        <v>1092.7808</v>
      </c>
      <c r="I5" s="6">
        <f>G5+H5</f>
        <v>7922.6607999999997</v>
      </c>
    </row>
    <row r="6" spans="4:9" ht="15.6" x14ac:dyDescent="0.3">
      <c r="D6" s="4">
        <v>5</v>
      </c>
      <c r="E6" s="5" t="s">
        <v>9</v>
      </c>
      <c r="F6" s="6">
        <v>266.23</v>
      </c>
      <c r="G6" s="6">
        <f t="shared" si="0"/>
        <v>1331.15</v>
      </c>
      <c r="H6" s="6">
        <f t="shared" si="1"/>
        <v>212.98400000000001</v>
      </c>
      <c r="I6" s="6">
        <f t="shared" si="2"/>
        <v>1544.134</v>
      </c>
    </row>
    <row r="7" spans="4:9" ht="31.2" x14ac:dyDescent="0.3">
      <c r="D7" s="4">
        <v>5</v>
      </c>
      <c r="E7" s="5" t="s">
        <v>10</v>
      </c>
      <c r="F7" s="6">
        <v>234.9</v>
      </c>
      <c r="G7" s="6">
        <f t="shared" si="0"/>
        <v>1174.5</v>
      </c>
      <c r="H7" s="6">
        <f t="shared" si="1"/>
        <v>187.92000000000002</v>
      </c>
      <c r="I7" s="6">
        <f t="shared" si="2"/>
        <v>1362.42</v>
      </c>
    </row>
    <row r="8" spans="4:9" ht="31.2" x14ac:dyDescent="0.3">
      <c r="D8" s="4">
        <v>5</v>
      </c>
      <c r="E8" s="5" t="s">
        <v>11</v>
      </c>
      <c r="F8" s="6">
        <v>115.23</v>
      </c>
      <c r="G8" s="6">
        <f t="shared" si="0"/>
        <v>576.15</v>
      </c>
      <c r="H8" s="6">
        <f t="shared" si="1"/>
        <v>92.183999999999997</v>
      </c>
      <c r="I8" s="6">
        <f t="shared" si="2"/>
        <v>668.33399999999995</v>
      </c>
    </row>
    <row r="9" spans="4:9" ht="16.2" customHeight="1" x14ac:dyDescent="0.3">
      <c r="D9" s="4">
        <v>5</v>
      </c>
      <c r="E9" s="5" t="s">
        <v>12</v>
      </c>
      <c r="F9" s="6">
        <v>150.43</v>
      </c>
      <c r="G9" s="6">
        <f t="shared" si="0"/>
        <v>752.15000000000009</v>
      </c>
      <c r="H9" s="6">
        <f t="shared" si="1"/>
        <v>120.34400000000002</v>
      </c>
      <c r="I9" s="6">
        <f t="shared" si="2"/>
        <v>872.49400000000014</v>
      </c>
    </row>
    <row r="10" spans="4:9" ht="15.6" x14ac:dyDescent="0.3">
      <c r="D10" s="4">
        <v>1</v>
      </c>
      <c r="E10" s="5" t="s">
        <v>13</v>
      </c>
      <c r="F10" s="6">
        <v>187.5</v>
      </c>
      <c r="G10" s="6">
        <f t="shared" si="0"/>
        <v>187.5</v>
      </c>
      <c r="H10" s="6">
        <f t="shared" si="1"/>
        <v>30</v>
      </c>
      <c r="I10" s="6">
        <f t="shared" si="2"/>
        <v>217.5</v>
      </c>
    </row>
    <row r="11" spans="4:9" ht="15.6" x14ac:dyDescent="0.3">
      <c r="D11" s="4">
        <v>1</v>
      </c>
      <c r="E11" s="5" t="s">
        <v>14</v>
      </c>
      <c r="F11" s="6">
        <v>788.85</v>
      </c>
      <c r="G11" s="6">
        <f t="shared" si="0"/>
        <v>788.85</v>
      </c>
      <c r="H11" s="6">
        <f t="shared" si="1"/>
        <v>126.21600000000001</v>
      </c>
      <c r="I11" s="6">
        <f t="shared" si="2"/>
        <v>915.06600000000003</v>
      </c>
    </row>
    <row r="12" spans="4:9" ht="15.6" x14ac:dyDescent="0.3">
      <c r="D12" s="4">
        <v>4</v>
      </c>
      <c r="E12" s="5" t="s">
        <v>15</v>
      </c>
      <c r="F12" s="6">
        <v>5.39</v>
      </c>
      <c r="G12" s="6">
        <f t="shared" si="0"/>
        <v>21.56</v>
      </c>
      <c r="H12" s="6">
        <f t="shared" si="1"/>
        <v>3.4495999999999998</v>
      </c>
      <c r="I12" s="6">
        <f t="shared" si="2"/>
        <v>25.009599999999999</v>
      </c>
    </row>
    <row r="13" spans="4:9" ht="15.6" x14ac:dyDescent="0.3">
      <c r="D13" s="4">
        <v>4</v>
      </c>
      <c r="E13" s="5" t="s">
        <v>16</v>
      </c>
      <c r="F13" s="6">
        <v>2.15</v>
      </c>
      <c r="G13" s="6">
        <f t="shared" si="0"/>
        <v>8.6</v>
      </c>
      <c r="H13" s="6">
        <f t="shared" si="1"/>
        <v>1.3759999999999999</v>
      </c>
      <c r="I13" s="6">
        <f t="shared" si="2"/>
        <v>9.9759999999999991</v>
      </c>
    </row>
    <row r="14" spans="4:9" ht="15.6" x14ac:dyDescent="0.3">
      <c r="D14" s="4">
        <v>4</v>
      </c>
      <c r="E14" s="5" t="s">
        <v>17</v>
      </c>
      <c r="F14" s="6">
        <v>2.15</v>
      </c>
      <c r="G14" s="6">
        <f t="shared" si="0"/>
        <v>8.6</v>
      </c>
      <c r="H14" s="6">
        <f t="shared" si="1"/>
        <v>1.3759999999999999</v>
      </c>
      <c r="I14" s="6">
        <f t="shared" si="2"/>
        <v>9.9759999999999991</v>
      </c>
    </row>
    <row r="15" spans="4:9" ht="15.6" x14ac:dyDescent="0.3">
      <c r="D15" s="4">
        <v>10</v>
      </c>
      <c r="E15" s="5" t="s">
        <v>18</v>
      </c>
      <c r="F15" s="6">
        <v>9.8000000000000007</v>
      </c>
      <c r="G15" s="6">
        <f t="shared" si="0"/>
        <v>98</v>
      </c>
      <c r="H15" s="6">
        <f t="shared" si="1"/>
        <v>15.68</v>
      </c>
      <c r="I15" s="6">
        <f t="shared" si="2"/>
        <v>113.68</v>
      </c>
    </row>
    <row r="16" spans="4:9" ht="15.6" x14ac:dyDescent="0.3">
      <c r="D16" s="4">
        <v>2</v>
      </c>
      <c r="E16" s="5" t="s">
        <v>19</v>
      </c>
      <c r="F16" s="6">
        <v>50.01</v>
      </c>
      <c r="G16" s="6">
        <f t="shared" si="0"/>
        <v>100.02</v>
      </c>
      <c r="H16" s="6">
        <f t="shared" si="1"/>
        <v>16.0032</v>
      </c>
      <c r="I16" s="6">
        <f t="shared" si="2"/>
        <v>116.0232</v>
      </c>
    </row>
    <row r="17" spans="4:9" ht="15.6" x14ac:dyDescent="0.3">
      <c r="D17" s="4"/>
      <c r="E17" s="5"/>
      <c r="F17" s="6"/>
      <c r="G17" s="6">
        <f t="shared" si="0"/>
        <v>0</v>
      </c>
      <c r="H17" s="6">
        <f t="shared" si="1"/>
        <v>0</v>
      </c>
      <c r="I17" s="6">
        <f t="shared" si="2"/>
        <v>0</v>
      </c>
    </row>
    <row r="18" spans="4:9" ht="15.6" x14ac:dyDescent="0.3">
      <c r="D18" s="4">
        <v>10</v>
      </c>
      <c r="E18" s="5" t="s">
        <v>18</v>
      </c>
      <c r="F18" s="6">
        <v>9.8000000000000007</v>
      </c>
      <c r="G18" s="6">
        <f t="shared" si="0"/>
        <v>98</v>
      </c>
      <c r="H18" s="6">
        <f t="shared" si="1"/>
        <v>15.68</v>
      </c>
      <c r="I18" s="6">
        <f t="shared" si="2"/>
        <v>113.68</v>
      </c>
    </row>
    <row r="19" spans="4:9" ht="15.6" x14ac:dyDescent="0.3">
      <c r="D19" s="4">
        <v>2</v>
      </c>
      <c r="E19" s="5" t="s">
        <v>20</v>
      </c>
      <c r="F19" s="6">
        <v>102.06</v>
      </c>
      <c r="G19" s="6">
        <f t="shared" si="0"/>
        <v>204.12</v>
      </c>
      <c r="H19" s="6">
        <f t="shared" si="1"/>
        <v>32.659199999999998</v>
      </c>
      <c r="I19" s="6">
        <f t="shared" si="2"/>
        <v>236.7792</v>
      </c>
    </row>
    <row r="20" spans="4:9" ht="15.6" x14ac:dyDescent="0.3">
      <c r="D20" s="4">
        <v>1</v>
      </c>
      <c r="E20" s="5" t="s">
        <v>21</v>
      </c>
      <c r="F20" s="6">
        <v>298.7</v>
      </c>
      <c r="G20" s="6">
        <f t="shared" si="0"/>
        <v>298.7</v>
      </c>
      <c r="H20" s="6">
        <f t="shared" si="1"/>
        <v>47.792000000000002</v>
      </c>
      <c r="I20" s="6">
        <f t="shared" si="2"/>
        <v>346.49199999999996</v>
      </c>
    </row>
    <row r="21" spans="4:9" ht="15.6" x14ac:dyDescent="0.3">
      <c r="D21" s="4">
        <v>1</v>
      </c>
      <c r="E21" s="5" t="s">
        <v>22</v>
      </c>
      <c r="F21" s="6">
        <v>2269.14</v>
      </c>
      <c r="G21" s="6">
        <f t="shared" si="0"/>
        <v>2269.14</v>
      </c>
      <c r="H21" s="6">
        <f t="shared" si="1"/>
        <v>363.06239999999997</v>
      </c>
      <c r="I21" s="6">
        <f t="shared" si="2"/>
        <v>2632.2023999999997</v>
      </c>
    </row>
    <row r="22" spans="4:9" ht="15.6" x14ac:dyDescent="0.3">
      <c r="D22" s="4">
        <v>1</v>
      </c>
      <c r="E22" s="5" t="s">
        <v>23</v>
      </c>
      <c r="F22" s="6">
        <v>12.5</v>
      </c>
      <c r="G22" s="6">
        <f t="shared" si="0"/>
        <v>12.5</v>
      </c>
      <c r="H22" s="6">
        <f t="shared" si="1"/>
        <v>2</v>
      </c>
      <c r="I22" s="6">
        <f t="shared" si="2"/>
        <v>14.5</v>
      </c>
    </row>
    <row r="23" spans="4:9" ht="15.6" x14ac:dyDescent="0.3">
      <c r="D23" s="4">
        <v>1</v>
      </c>
      <c r="E23" s="5" t="s">
        <v>24</v>
      </c>
      <c r="F23" s="6">
        <v>12.5</v>
      </c>
      <c r="G23" s="6">
        <f t="shared" si="0"/>
        <v>12.5</v>
      </c>
      <c r="H23" s="6">
        <f t="shared" si="1"/>
        <v>2</v>
      </c>
      <c r="I23" s="6">
        <f t="shared" si="2"/>
        <v>14.5</v>
      </c>
    </row>
    <row r="24" spans="4:9" ht="15.6" x14ac:dyDescent="0.3">
      <c r="D24" s="4">
        <v>1</v>
      </c>
      <c r="E24" s="5" t="s">
        <v>25</v>
      </c>
      <c r="F24" s="6">
        <v>120.59</v>
      </c>
      <c r="G24" s="6">
        <f t="shared" si="0"/>
        <v>120.59</v>
      </c>
      <c r="H24" s="6">
        <f t="shared" si="1"/>
        <v>19.2944</v>
      </c>
      <c r="I24" s="6">
        <f t="shared" si="2"/>
        <v>139.8844</v>
      </c>
    </row>
    <row r="25" spans="4:9" ht="15.6" x14ac:dyDescent="0.3">
      <c r="D25" s="4">
        <v>6</v>
      </c>
      <c r="E25" s="5" t="s">
        <v>26</v>
      </c>
      <c r="F25" s="6">
        <v>14.21</v>
      </c>
      <c r="G25" s="6">
        <f t="shared" si="0"/>
        <v>85.26</v>
      </c>
      <c r="H25" s="6">
        <f t="shared" si="1"/>
        <v>13.6416</v>
      </c>
      <c r="I25" s="6">
        <f t="shared" si="2"/>
        <v>98.901600000000002</v>
      </c>
    </row>
    <row r="26" spans="4:9" ht="15.6" x14ac:dyDescent="0.3">
      <c r="D26" s="4">
        <v>6</v>
      </c>
      <c r="E26" s="5" t="s">
        <v>27</v>
      </c>
      <c r="F26" s="6">
        <v>7.06</v>
      </c>
      <c r="G26" s="6">
        <f t="shared" si="0"/>
        <v>42.36</v>
      </c>
      <c r="H26" s="6">
        <f t="shared" si="1"/>
        <v>6.7775999999999996</v>
      </c>
      <c r="I26" s="6">
        <f t="shared" si="2"/>
        <v>49.137599999999999</v>
      </c>
    </row>
    <row r="27" spans="4:9" ht="15.6" x14ac:dyDescent="0.3">
      <c r="D27" s="4">
        <v>10</v>
      </c>
      <c r="E27" s="5" t="s">
        <v>28</v>
      </c>
      <c r="F27" s="6">
        <v>18.5</v>
      </c>
      <c r="G27" s="6">
        <f t="shared" si="0"/>
        <v>185</v>
      </c>
      <c r="H27" s="6">
        <f t="shared" si="1"/>
        <v>29.6</v>
      </c>
      <c r="I27" s="6">
        <f t="shared" si="2"/>
        <v>214.6</v>
      </c>
    </row>
    <row r="28" spans="4:9" ht="15.6" x14ac:dyDescent="0.3">
      <c r="D28" s="4">
        <v>8</v>
      </c>
      <c r="E28" s="5" t="s">
        <v>29</v>
      </c>
      <c r="F28" s="6">
        <v>9.23</v>
      </c>
      <c r="G28" s="6">
        <f t="shared" si="0"/>
        <v>73.84</v>
      </c>
      <c r="H28" s="6">
        <f t="shared" si="1"/>
        <v>11.814400000000001</v>
      </c>
      <c r="I28" s="6">
        <f t="shared" si="2"/>
        <v>85.65440000000001</v>
      </c>
    </row>
    <row r="29" spans="4:9" ht="15.6" x14ac:dyDescent="0.3">
      <c r="D29" s="4">
        <v>100</v>
      </c>
      <c r="E29" s="5" t="s">
        <v>30</v>
      </c>
      <c r="F29" s="6">
        <v>2.48</v>
      </c>
      <c r="G29" s="6">
        <f t="shared" si="0"/>
        <v>248</v>
      </c>
      <c r="H29" s="6">
        <f t="shared" si="1"/>
        <v>39.68</v>
      </c>
      <c r="I29" s="6">
        <f t="shared" si="2"/>
        <v>287.68</v>
      </c>
    </row>
    <row r="30" spans="4:9" ht="15.6" x14ac:dyDescent="0.3">
      <c r="D30" s="4">
        <v>1</v>
      </c>
      <c r="E30" s="5" t="s">
        <v>31</v>
      </c>
      <c r="F30" s="6">
        <v>17.809999999999999</v>
      </c>
      <c r="G30" s="6">
        <f t="shared" si="0"/>
        <v>17.809999999999999</v>
      </c>
      <c r="H30" s="6">
        <f t="shared" si="1"/>
        <v>2.8495999999999997</v>
      </c>
      <c r="I30" s="6">
        <f t="shared" si="2"/>
        <v>20.659599999999998</v>
      </c>
    </row>
    <row r="31" spans="4:9" ht="15.6" x14ac:dyDescent="0.3">
      <c r="D31" s="4">
        <v>1</v>
      </c>
      <c r="E31" s="5" t="s">
        <v>32</v>
      </c>
      <c r="F31" s="6">
        <v>17.809999999999999</v>
      </c>
      <c r="G31" s="6">
        <f t="shared" si="0"/>
        <v>17.809999999999999</v>
      </c>
      <c r="H31" s="6">
        <f t="shared" si="1"/>
        <v>2.8495999999999997</v>
      </c>
      <c r="I31" s="6">
        <f t="shared" si="2"/>
        <v>20.659599999999998</v>
      </c>
    </row>
    <row r="32" spans="4:9" ht="15.6" x14ac:dyDescent="0.3">
      <c r="D32" s="4">
        <v>1</v>
      </c>
      <c r="E32" s="5" t="s">
        <v>33</v>
      </c>
      <c r="F32" s="6">
        <v>147</v>
      </c>
      <c r="G32" s="6">
        <f t="shared" si="0"/>
        <v>147</v>
      </c>
      <c r="H32" s="6">
        <f t="shared" si="1"/>
        <v>23.52</v>
      </c>
      <c r="I32" s="6">
        <f t="shared" si="2"/>
        <v>170.52</v>
      </c>
    </row>
    <row r="33" spans="4:9" ht="15.6" x14ac:dyDescent="0.3">
      <c r="D33" s="4">
        <v>2</v>
      </c>
      <c r="E33" s="5" t="s">
        <v>34</v>
      </c>
      <c r="F33" s="6">
        <v>6.25</v>
      </c>
      <c r="G33" s="6">
        <f t="shared" si="0"/>
        <v>12.5</v>
      </c>
      <c r="H33" s="6">
        <f t="shared" si="1"/>
        <v>2</v>
      </c>
      <c r="I33" s="6">
        <f t="shared" si="2"/>
        <v>14.5</v>
      </c>
    </row>
    <row r="34" spans="4:9" ht="15.6" x14ac:dyDescent="0.3">
      <c r="D34" s="4">
        <v>3</v>
      </c>
      <c r="E34" s="5" t="s">
        <v>35</v>
      </c>
      <c r="F34" s="6">
        <v>1.1299999999999999</v>
      </c>
      <c r="G34" s="6">
        <f t="shared" si="0"/>
        <v>3.3899999999999997</v>
      </c>
      <c r="H34" s="6">
        <f t="shared" si="1"/>
        <v>0.54239999999999999</v>
      </c>
      <c r="I34" s="6">
        <f t="shared" si="2"/>
        <v>3.9323999999999995</v>
      </c>
    </row>
    <row r="35" spans="4:9" ht="15.6" x14ac:dyDescent="0.3">
      <c r="D35" s="4">
        <v>1</v>
      </c>
      <c r="E35" s="5" t="s">
        <v>36</v>
      </c>
      <c r="F35" s="6">
        <v>6.25</v>
      </c>
      <c r="G35" s="6">
        <f t="shared" si="0"/>
        <v>6.25</v>
      </c>
      <c r="H35" s="6">
        <f t="shared" si="1"/>
        <v>1</v>
      </c>
      <c r="I35" s="6">
        <f t="shared" si="2"/>
        <v>7.25</v>
      </c>
    </row>
    <row r="36" spans="4:9" ht="15.6" x14ac:dyDescent="0.3">
      <c r="D36" s="4">
        <v>8</v>
      </c>
      <c r="E36" s="5" t="s">
        <v>37</v>
      </c>
      <c r="F36" s="6">
        <v>1.75</v>
      </c>
      <c r="G36" s="6">
        <f t="shared" si="0"/>
        <v>14</v>
      </c>
      <c r="H36" s="6">
        <f t="shared" si="1"/>
        <v>2.2400000000000002</v>
      </c>
      <c r="I36" s="6">
        <f t="shared" si="2"/>
        <v>16.240000000000002</v>
      </c>
    </row>
    <row r="37" spans="4:9" ht="15.6" x14ac:dyDescent="0.3">
      <c r="D37" s="4">
        <v>2</v>
      </c>
      <c r="E37" s="5" t="s">
        <v>38</v>
      </c>
      <c r="F37" s="6">
        <v>1.25</v>
      </c>
      <c r="G37" s="6">
        <f t="shared" si="0"/>
        <v>2.5</v>
      </c>
      <c r="H37" s="6">
        <f t="shared" si="1"/>
        <v>0.4</v>
      </c>
      <c r="I37" s="6">
        <f t="shared" si="2"/>
        <v>2.9</v>
      </c>
    </row>
    <row r="38" spans="4:9" ht="31.2" x14ac:dyDescent="0.3">
      <c r="D38" s="4">
        <v>10</v>
      </c>
      <c r="E38" s="5" t="s">
        <v>39</v>
      </c>
      <c r="F38" s="6">
        <v>1.3</v>
      </c>
      <c r="G38" s="6">
        <f t="shared" si="0"/>
        <v>13</v>
      </c>
      <c r="H38" s="6">
        <f t="shared" si="1"/>
        <v>2.08</v>
      </c>
      <c r="I38" s="6">
        <f t="shared" si="2"/>
        <v>15.08</v>
      </c>
    </row>
    <row r="39" spans="4:9" ht="15.6" x14ac:dyDescent="0.3">
      <c r="D39" s="4">
        <v>5</v>
      </c>
      <c r="E39" s="5" t="s">
        <v>40</v>
      </c>
      <c r="F39" s="6">
        <v>13.1</v>
      </c>
      <c r="G39" s="6">
        <f t="shared" si="0"/>
        <v>65.5</v>
      </c>
      <c r="H39" s="6">
        <f t="shared" si="1"/>
        <v>10.48</v>
      </c>
      <c r="I39" s="6">
        <f t="shared" si="2"/>
        <v>75.98</v>
      </c>
    </row>
    <row r="40" spans="4:9" ht="15.6" x14ac:dyDescent="0.3">
      <c r="D40" s="4">
        <v>5</v>
      </c>
      <c r="E40" s="5" t="s">
        <v>41</v>
      </c>
      <c r="F40" s="6">
        <v>13.75</v>
      </c>
      <c r="G40" s="6">
        <f t="shared" si="0"/>
        <v>68.75</v>
      </c>
      <c r="H40" s="6">
        <f t="shared" si="1"/>
        <v>11</v>
      </c>
      <c r="I40" s="6">
        <f t="shared" si="2"/>
        <v>79.75</v>
      </c>
    </row>
    <row r="41" spans="4:9" ht="15.6" x14ac:dyDescent="0.3">
      <c r="D41" s="4">
        <v>1</v>
      </c>
      <c r="E41" s="5" t="s">
        <v>42</v>
      </c>
      <c r="F41" s="6">
        <v>9.3800000000000008</v>
      </c>
      <c r="G41" s="6">
        <f t="shared" si="0"/>
        <v>9.3800000000000008</v>
      </c>
      <c r="H41" s="6">
        <f t="shared" si="1"/>
        <v>1.5008000000000001</v>
      </c>
      <c r="I41" s="6">
        <f t="shared" si="2"/>
        <v>10.880800000000001</v>
      </c>
    </row>
    <row r="42" spans="4:9" ht="15.6" x14ac:dyDescent="0.3">
      <c r="D42" s="4">
        <v>1</v>
      </c>
      <c r="E42" s="5" t="s">
        <v>43</v>
      </c>
      <c r="F42" s="6">
        <v>31.25</v>
      </c>
      <c r="G42" s="6">
        <f t="shared" si="0"/>
        <v>31.25</v>
      </c>
      <c r="H42" s="6">
        <f t="shared" si="1"/>
        <v>5</v>
      </c>
      <c r="I42" s="6">
        <f t="shared" si="2"/>
        <v>36.25</v>
      </c>
    </row>
    <row r="43" spans="4:9" ht="15.6" x14ac:dyDescent="0.3">
      <c r="D43" s="4">
        <v>13</v>
      </c>
      <c r="E43" s="5" t="s">
        <v>44</v>
      </c>
      <c r="F43" s="6">
        <v>1.54</v>
      </c>
      <c r="G43" s="6">
        <f t="shared" si="0"/>
        <v>20.02</v>
      </c>
      <c r="H43" s="6">
        <f t="shared" si="1"/>
        <v>3.2031999999999998</v>
      </c>
      <c r="I43" s="6">
        <f t="shared" si="2"/>
        <v>23.223199999999999</v>
      </c>
    </row>
    <row r="44" spans="4:9" ht="15.6" x14ac:dyDescent="0.3">
      <c r="D44" s="4"/>
      <c r="E44" s="5"/>
      <c r="F44" s="6">
        <v>0</v>
      </c>
      <c r="G44" s="6">
        <f t="shared" si="0"/>
        <v>0</v>
      </c>
      <c r="H44" s="6">
        <f t="shared" si="1"/>
        <v>0</v>
      </c>
      <c r="I44" s="6">
        <f t="shared" si="2"/>
        <v>0</v>
      </c>
    </row>
    <row r="45" spans="4:9" ht="15.6" x14ac:dyDescent="0.3">
      <c r="D45" s="4">
        <v>1</v>
      </c>
      <c r="E45" s="5" t="s">
        <v>45</v>
      </c>
      <c r="F45" s="6">
        <v>4872.74</v>
      </c>
      <c r="G45" s="6">
        <f t="shared" si="0"/>
        <v>4872.74</v>
      </c>
      <c r="H45" s="6">
        <f t="shared" si="1"/>
        <v>779.63839999999993</v>
      </c>
      <c r="I45" s="6">
        <f t="shared" si="2"/>
        <v>5652.3783999999996</v>
      </c>
    </row>
    <row r="46" spans="4:9" ht="15.6" x14ac:dyDescent="0.3">
      <c r="D46" s="4"/>
      <c r="E46" s="5"/>
      <c r="F46" s="6"/>
      <c r="G46" s="6"/>
      <c r="H46" s="6"/>
      <c r="I46" s="6"/>
    </row>
    <row r="47" spans="4:9" ht="15.6" x14ac:dyDescent="0.3">
      <c r="D47" s="4"/>
      <c r="E47" s="5"/>
      <c r="F47" s="6"/>
      <c r="G47" s="6"/>
      <c r="H47" s="6"/>
      <c r="I47" s="6"/>
    </row>
    <row r="48" spans="4:9" ht="15.6" x14ac:dyDescent="0.3">
      <c r="D48" s="4"/>
      <c r="E48" s="5"/>
      <c r="F48" s="6"/>
      <c r="G48" s="6"/>
      <c r="H48" s="6"/>
      <c r="I48" s="6"/>
    </row>
    <row r="52" spans="7:9" ht="18" x14ac:dyDescent="0.35">
      <c r="G52" s="7">
        <f>SUM(G3:G51)</f>
        <v>37983.019999999997</v>
      </c>
      <c r="H52" s="7">
        <f>G52*0.16</f>
        <v>6077.2831999999999</v>
      </c>
      <c r="I52" s="7">
        <f>G52+H52</f>
        <v>44060.303199999995</v>
      </c>
    </row>
    <row r="56" spans="7:9" ht="15.6" x14ac:dyDescent="0.3">
      <c r="G5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Gutierrez Rafael</dc:creator>
  <cp:lastModifiedBy>Teresa Gutierrez Rafael</cp:lastModifiedBy>
  <dcterms:created xsi:type="dcterms:W3CDTF">2026-04-02T19:01:14Z</dcterms:created>
  <dcterms:modified xsi:type="dcterms:W3CDTF">2026-04-02T19:02:12Z</dcterms:modified>
</cp:coreProperties>
</file>